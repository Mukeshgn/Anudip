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3C4D462BDFA5285/Documents/"/>
    </mc:Choice>
  </mc:AlternateContent>
  <xr:revisionPtr revIDLastSave="510" documentId="8_{FE5C505D-21E6-4519-984D-BF05FA3C31A4}" xr6:coauthVersionLast="47" xr6:coauthVersionMax="47" xr10:uidLastSave="{731D18CA-4E7D-4ED8-9E7E-8847C7E188C0}"/>
  <bookViews>
    <workbookView xWindow="-108" yWindow="-108" windowWidth="23256" windowHeight="12456" firstSheet="3" activeTab="4" xr2:uid="{00000000-000D-0000-FFFF-FFFF00000000}"/>
  </bookViews>
  <sheets>
    <sheet name="Descriptive statistics" sheetId="1" r:id="rId1"/>
    <sheet name="Frequency of values" sheetId="2" r:id="rId2"/>
    <sheet name="Correlation" sheetId="3" r:id="rId3"/>
    <sheet name="Sampling" sheetId="4" r:id="rId4"/>
    <sheet name="Sheet6" sheetId="6" r:id="rId5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'Frequency of values'!$G$24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3" l="1"/>
  <c r="E18" i="3"/>
  <c r="E12" i="3"/>
</calcChain>
</file>

<file path=xl/sharedStrings.xml><?xml version="1.0" encoding="utf-8"?>
<sst xmlns="http://schemas.openxmlformats.org/spreadsheetml/2006/main" count="111" uniqueCount="57">
  <si>
    <t>Temperature</t>
  </si>
  <si>
    <t>Price of ice cream</t>
  </si>
  <si>
    <t>Units sold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</si>
  <si>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</si>
  <si>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</si>
  <si>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</si>
  <si>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</si>
  <si>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</si>
  <si>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</si>
  <si>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</si>
  <si>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</si>
  <si>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</si>
  <si>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</si>
  <si>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</si>
  <si>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</si>
  <si>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</si>
  <si>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Bins</t>
  </si>
  <si>
    <t>More</t>
  </si>
  <si>
    <t>Frequency</t>
  </si>
  <si>
    <t>Correlation of Temperature and unit sold</t>
  </si>
  <si>
    <t>Correlation of Temperature and Price of icecream</t>
  </si>
  <si>
    <t>Correlation of Price of ice cream and unit sold</t>
  </si>
  <si>
    <t>USING FORMULAE(=CORREL)</t>
  </si>
  <si>
    <t>USING DATA ANALYSIS</t>
  </si>
  <si>
    <t>Periodic Sampling</t>
  </si>
  <si>
    <t>Random Sampling</t>
  </si>
  <si>
    <t>SUMMARY OUTPUT</t>
  </si>
  <si>
    <t>Y=bX+a+c</t>
  </si>
  <si>
    <t>Y=bX+a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</si>
  <si>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</si>
  <si>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</si>
  <si>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</si>
  <si>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</si>
  <si>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</si>
  <si>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</si>
  <si>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</si>
  <si>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</si>
  <si>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</si>
  <si>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</si>
  <si>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</si>
  <si>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</si>
  <si>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</si>
  <si>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</si>
  <si>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</si>
  <si>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</si>
  <si>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</si>
  <si>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</si>
  <si>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</si>
  <si>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</si>
  <si>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</si>
  <si>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</si>
  <si>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</si>
  <si>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</si>
  <si>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Units sold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</si>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</sst>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1F1F1F"/>
      <name val="Arial"/>
      <family val="2"/>
      <charset val="1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4" fillId="0" borderId="4" xfId="0" applyFont="1" applyBorder="1"/>
    <xf numFmtId="8" fontId="5" fillId="0" borderId="0" xfId="0" applyNumberFormat="1" applyFont="1"/>
    <xf numFmtId="0" fontId="4" fillId="0" borderId="5" xfId="0" applyFont="1" applyBorder="1"/>
    <xf numFmtId="8" fontId="4" fillId="0" borderId="0" xfId="0" applyNumberFormat="1" applyFont="1"/>
    <xf numFmtId="0" fontId="4" fillId="0" borderId="6" xfId="0" applyFont="1" applyBorder="1"/>
    <xf numFmtId="8" fontId="4" fillId="0" borderId="7" xfId="0" applyNumberFormat="1" applyFont="1" applyBorder="1"/>
    <xf numFmtId="0" fontId="4" fillId="0" borderId="8" xfId="0" applyFont="1" applyBorder="1"/>
    <xf numFmtId="0" fontId="0" fillId="0" borderId="0" xfId="0" applyFill="1" applyBorder="1" applyAlignment="1"/>
    <xf numFmtId="0" fontId="0" fillId="0" borderId="9" xfId="0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Continuous"/>
    </xf>
    <xf numFmtId="0" fontId="6" fillId="0" borderId="11" xfId="0" applyFont="1" applyFill="1" applyBorder="1" applyAlignment="1">
      <alignment horizontal="centerContinuous"/>
    </xf>
    <xf numFmtId="0" fontId="6" fillId="0" borderId="12" xfId="0" applyFont="1" applyFill="1" applyBorder="1" applyAlignment="1">
      <alignment horizontal="centerContinuous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16" xfId="0" applyFill="1" applyBorder="1" applyAlignment="1"/>
    <xf numFmtId="0" fontId="2" fillId="2" borderId="0" xfId="0" applyFont="1" applyFill="1" applyBorder="1"/>
    <xf numFmtId="0" fontId="4" fillId="0" borderId="0" xfId="0" applyFont="1" applyBorder="1"/>
    <xf numFmtId="0" fontId="4" fillId="0" borderId="0" xfId="0" applyFont="1" applyFill="1" applyBorder="1"/>
    <xf numFmtId="0" fontId="1" fillId="0" borderId="0" xfId="0" applyFont="1"/>
    <xf numFmtId="0" fontId="1" fillId="3" borderId="0" xfId="0" applyFont="1" applyFill="1"/>
    <xf numFmtId="0" fontId="0" fillId="0" borderId="0" xfId="0" applyNumberFormat="1" applyFill="1" applyBorder="1" applyAlignment="1"/>
    <xf numFmtId="0" fontId="0" fillId="0" borderId="9" xfId="0" applyNumberFormat="1" applyFill="1" applyBorder="1" applyAlignment="1"/>
    <xf numFmtId="0" fontId="0" fillId="3" borderId="0" xfId="0" applyFill="1"/>
    <xf numFmtId="0" fontId="0" fillId="4" borderId="0" xfId="0" applyFill="1"/>
    <xf numFmtId="0" fontId="0" fillId="0" borderId="0" xfId="0" applyFo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'Frequency of values'!$H$7:$H$11</c:f>
              <c:strCache>
                <c:ptCount val="5"/>
                <c:pt idx="0">
                  <c:v>40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More</c:v>
                </c:pt>
              </c:strCache>
            </c:strRef>
          </c:cat>
          <c:val>
            <c:numRef>
              <c:f>'Frequency of values'!$I$7:$I$11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7-4921-BDF4-E1E5F7E53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380176"/>
        <c:axId val="76792240"/>
      </c:barChart>
      <c:catAx>
        <c:axId val="106238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792240"/>
        <c:crosses val="autoZero"/>
        <c:auto val="1"/>
        <c:lblAlgn val="ctr"/>
        <c:lblOffset val="100"/>
        <c:noMultiLvlLbl val="0"/>
      </c:catAx>
      <c:valAx>
        <c:axId val="76792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2380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 of dept vs independent variables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Sheet6!$A$2:$B$9</c:f>
              <c:multiLvlStrCache>
                <c:ptCount val="8"/>
                <c:lvl>
                  <c:pt idx="0">
                    <c:v>Price of ice cream</c:v>
                  </c:pt>
                  <c:pt idx="1">
                    <c:v>₹ 10.00</c:v>
                  </c:pt>
                  <c:pt idx="2">
                    <c:v>₹ 20.00</c:v>
                  </c:pt>
                  <c:pt idx="3">
                    <c:v>₹ 25.00</c:v>
                  </c:pt>
                  <c:pt idx="4">
                    <c:v>₹ 30.00</c:v>
                  </c:pt>
                  <c:pt idx="5">
                    <c:v>₹ 35.00</c:v>
                  </c:pt>
                  <c:pt idx="6">
                    <c:v>₹ 50.00</c:v>
                  </c:pt>
                  <c:pt idx="7">
                    <c:v>₹ 60.00</c:v>
                  </c:pt>
                </c:lvl>
                <c:lvl>
                  <c:pt idx="0">
                    <c:v>Temperature</c:v>
                  </c:pt>
                  <c:pt idx="1">
                    <c:v>20</c:v>
                  </c:pt>
                  <c:pt idx="2">
                    <c:v>26</c:v>
                  </c:pt>
                  <c:pt idx="3">
                    <c:v>30</c:v>
                  </c:pt>
                  <c:pt idx="4">
                    <c:v>35</c:v>
                  </c:pt>
                  <c:pt idx="5">
                    <c:v>38</c:v>
                  </c:pt>
                  <c:pt idx="6">
                    <c:v>40</c:v>
                  </c:pt>
                  <c:pt idx="7">
                    <c:v>45</c:v>
                  </c:pt>
                </c:lvl>
              </c:multiLvlStrCache>
            </c:multiLvlStrRef>
          </c:xVal>
          <c:yVal>
            <c:numRef>
              <c:f>Sheet6!$C$2:$C$9</c:f>
              <c:numCache>
                <c:formatCode>General</c:formatCode>
                <c:ptCount val="8"/>
                <c:pt idx="0">
                  <c:v>0</c:v>
                </c:pt>
                <c:pt idx="1">
                  <c:v>12</c:v>
                </c:pt>
                <c:pt idx="2">
                  <c:v>15</c:v>
                </c:pt>
                <c:pt idx="3">
                  <c:v>10</c:v>
                </c:pt>
                <c:pt idx="4">
                  <c:v>20</c:v>
                </c:pt>
                <c:pt idx="5">
                  <c:v>25</c:v>
                </c:pt>
                <c:pt idx="6">
                  <c:v>20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C3-4DB2-8C4D-894BE31A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66160"/>
        <c:axId val="4447628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0.20816054243219598"/>
                        <c:y val="-0.13601924759405074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multiLvlStrRef>
                    <c:extLst>
                      <c:ext uri="{02D57815-91ED-43cb-92C2-25804820EDAC}">
                        <c15:formulaRef>
                          <c15:sqref>Sheet6!$A$3:$B$9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₹ 10.00</c:v>
                        </c:pt>
                        <c:pt idx="1">
                          <c:v>₹ 20.00</c:v>
                        </c:pt>
                        <c:pt idx="2">
                          <c:v>₹ 25.00</c:v>
                        </c:pt>
                        <c:pt idx="3">
                          <c:v>₹ 30.00</c:v>
                        </c:pt>
                        <c:pt idx="4">
                          <c:v>₹ 35.00</c:v>
                        </c:pt>
                        <c:pt idx="5">
                          <c:v>₹ 50.00</c:v>
                        </c:pt>
                        <c:pt idx="6">
                          <c:v>₹ 60.00</c:v>
                        </c:pt>
                      </c:lvl>
                      <c:lvl>
                        <c:pt idx="0">
                          <c:v>20</c:v>
                        </c:pt>
                        <c:pt idx="1">
                          <c:v>26</c:v>
                        </c:pt>
                        <c:pt idx="2">
                          <c:v>30</c:v>
                        </c:pt>
                        <c:pt idx="3">
                          <c:v>35</c:v>
                        </c:pt>
                        <c:pt idx="4">
                          <c:v>38</c:v>
                        </c:pt>
                        <c:pt idx="5">
                          <c:v>40</c:v>
                        </c:pt>
                        <c:pt idx="6">
                          <c:v>45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Sheet6!$C$3:$C$9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</c:v>
                      </c:pt>
                      <c:pt idx="1">
                        <c:v>15</c:v>
                      </c:pt>
                      <c:pt idx="2">
                        <c:v>10</c:v>
                      </c:pt>
                      <c:pt idx="3">
                        <c:v>20</c:v>
                      </c:pt>
                      <c:pt idx="4">
                        <c:v>25</c:v>
                      </c:pt>
                      <c:pt idx="5">
                        <c:v>20</c:v>
                      </c:pt>
                      <c:pt idx="6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EC3-4DB2-8C4D-894BE31AE778}"/>
                  </c:ext>
                </c:extLst>
              </c15:ser>
            </c15:filteredScatterSeries>
          </c:ext>
        </c:extLst>
      </c:scatterChart>
      <c:valAx>
        <c:axId val="4447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62800"/>
        <c:crosses val="autoZero"/>
        <c:crossBetween val="midCat"/>
      </c:valAx>
      <c:valAx>
        <c:axId val="4447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6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Temperature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19050">
              <a:noFill/>
            </a:ln>
          </c:spPr>
          <c:xVal>
            <c:numRef>
              <c:f>Sheet6!$A$3:$A$9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Sheet6!$C$3:$C$9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2D-4A89-A82F-5B93221F5526}"/>
            </c:ext>
          </c:extLst>
        </c:ser>
        <c:ser>
          <c:idx val="1"/>
          <c:order val="1"/>
          <c:tx>
            <c:v>Predicted Units sold</c:v>
          </c:tx>
          <c:spPr>
            <a:ln w="19050">
              <a:noFill/>
            </a:ln>
          </c:spPr>
          <c:xVal>
            <c:numRef>
              <c:f>Sheet6!$A$3:$A$9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Sheet6!$F$32:$F$38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2D-4A89-A82F-5B93221F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217808"/>
        <c:axId val="437227408"/>
      </c:scatterChart>
      <c:valAx>
        <c:axId val="43721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Temperature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7227408"/>
        <c:crosses val="autoZero"/>
        <c:crossBetween val="midCat"/>
      </c:valAx>
      <c:valAx>
        <c:axId val="43722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7217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Price of ice cream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19050">
              <a:noFill/>
            </a:ln>
          </c:spPr>
          <c:xVal>
            <c:numRef>
              <c:f>Sheet6!$B$3:$B$9</c:f>
              <c:numCache>
                <c:formatCode>"₹"#,##0.00_);[Red]\("₹"#,##0.00\)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Sheet6!$C$3:$C$9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5-4A88-BC59-1799755ACE7F}"/>
            </c:ext>
          </c:extLst>
        </c:ser>
        <c:ser>
          <c:idx val="1"/>
          <c:order val="1"/>
          <c:tx>
            <c:v>Predicted Units sold</c:v>
          </c:tx>
          <c:spPr>
            <a:ln w="19050">
              <a:noFill/>
            </a:ln>
          </c:spPr>
          <c:xVal>
            <c:numRef>
              <c:f>Sheet6!$B$3:$B$9</c:f>
              <c:numCache>
                <c:formatCode>"₹"#,##0.00_);[Red]\("₹"#,##0.00\)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Sheet6!$F$32:$F$38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C5-4A88-BC59-1799755A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293872"/>
        <c:axId val="1316295792"/>
      </c:scatterChart>
      <c:valAx>
        <c:axId val="131629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of ice cream</a:t>
                </a:r>
              </a:p>
            </c:rich>
          </c:tx>
          <c:overlay val="0"/>
        </c:title>
        <c:numFmt formatCode="&quot;₹&quot;#,##0.00_);[Red]\(&quot;₹&quot;#,##0.00\)" sourceLinked="1"/>
        <c:majorTickMark val="out"/>
        <c:minorTickMark val="none"/>
        <c:tickLblPos val="nextTo"/>
        <c:crossAx val="1316295792"/>
        <c:crosses val="autoZero"/>
        <c:crossBetween val="midCat"/>
      </c:valAx>
      <c:valAx>
        <c:axId val="1316295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6293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Sheet6!$I$32:$I$38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Sheet6!$J$32:$J$38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0-4CEB-8081-1AF2C7BDE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377680"/>
        <c:axId val="442378640"/>
      </c:scatterChart>
      <c:valAx>
        <c:axId val="44237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2378640"/>
        <c:crosses val="autoZero"/>
        <c:crossBetween val="midCat"/>
      </c:valAx>
      <c:valAx>
        <c:axId val="442378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2377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4.xml"/><Relationship Id="rId7" Type="http://schemas.openxmlformats.org/officeDocument/2006/relationships/image" Target="../media/image5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chart" Target="../charts/chart5.xm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5</xdr:row>
      <xdr:rowOff>175260</xdr:rowOff>
    </xdr:from>
    <xdr:to>
      <xdr:col>16</xdr:col>
      <xdr:colOff>251460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A3A07-6485-7DD8-DDE1-6E96CF4A2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16</xdr:col>
      <xdr:colOff>67535</xdr:colOff>
      <xdr:row>33</xdr:row>
      <xdr:rowOff>94677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334E8F-BDD7-CEDB-2A7C-2AFAD829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731520"/>
          <a:ext cx="6163535" cy="543000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26</xdr:col>
      <xdr:colOff>134134</xdr:colOff>
      <xdr:row>30</xdr:row>
      <xdr:rowOff>130775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92CF50-D854-A84D-07F5-E44C6688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4860" y="914400"/>
          <a:ext cx="5620534" cy="4734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10</xdr:row>
      <xdr:rowOff>141514</xdr:rowOff>
    </xdr:from>
    <xdr:to>
      <xdr:col>3</xdr:col>
      <xdr:colOff>108858</xdr:colOff>
      <xdr:row>25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5310DC-1FE8-F0FF-FDE0-320B56D95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6</xdr:row>
      <xdr:rowOff>121920</xdr:rowOff>
    </xdr:from>
    <xdr:to>
      <xdr:col>18</xdr:col>
      <xdr:colOff>190500</xdr:colOff>
      <xdr:row>16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B50D34-C2DF-3AFC-98EC-FC6D4ACF8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190500</xdr:colOff>
      <xdr:row>8</xdr:row>
      <xdr:rowOff>121920</xdr:rowOff>
    </xdr:from>
    <xdr:to>
      <xdr:col>19</xdr:col>
      <xdr:colOff>190500</xdr:colOff>
      <xdr:row>18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27D296-BA86-48AA-0DEB-FABAF30D1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190500</xdr:colOff>
      <xdr:row>10</xdr:row>
      <xdr:rowOff>121920</xdr:rowOff>
    </xdr:from>
    <xdr:to>
      <xdr:col>20</xdr:col>
      <xdr:colOff>190500</xdr:colOff>
      <xdr:row>20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9E7D24-825D-68BF-1F07-18AC6CCC4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0</xdr:colOff>
      <xdr:row>7</xdr:row>
      <xdr:rowOff>0</xdr:rowOff>
    </xdr:from>
    <xdr:to>
      <xdr:col>29</xdr:col>
      <xdr:colOff>276859</xdr:colOff>
      <xdr:row>39</xdr:row>
      <xdr:rowOff>181840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5F3D2B-D796-8928-E1E6-9B0D4500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9914" y="1306286"/>
          <a:ext cx="4544059" cy="620164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39</xdr:col>
      <xdr:colOff>257892</xdr:colOff>
      <xdr:row>39</xdr:row>
      <xdr:rowOff>177784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67CF25-40B3-12D8-BBD0-D7A30096B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96314" y="1121229"/>
          <a:ext cx="5134692" cy="6382641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39</xdr:col>
      <xdr:colOff>67365</xdr:colOff>
      <xdr:row>45</xdr:row>
      <xdr:rowOff>174299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97C2C4-D565-E884-A34C-7EBF00FB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496314" y="7696200"/>
          <a:ext cx="4944165" cy="914528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50</xdr:col>
      <xdr:colOff>305693</xdr:colOff>
      <xdr:row>44</xdr:row>
      <xdr:rowOff>85346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A9D5451-289A-EFF9-768D-0653A551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982714" y="1306286"/>
          <a:ext cx="6401693" cy="7030431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7</xdr:row>
      <xdr:rowOff>0</xdr:rowOff>
    </xdr:from>
    <xdr:to>
      <xdr:col>61</xdr:col>
      <xdr:colOff>29345</xdr:colOff>
      <xdr:row>28</xdr:row>
      <xdr:rowOff>172027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80AD15-CB84-D164-4C6A-BE914BEA1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297914" y="1306286"/>
          <a:ext cx="5515745" cy="4134427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61</xdr:col>
      <xdr:colOff>600925</xdr:colOff>
      <xdr:row>65</xdr:row>
      <xdr:rowOff>136971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1BE0BE-01AB-4840-5D11-6DB10C71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297914" y="5834743"/>
          <a:ext cx="6087325" cy="6439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80" zoomScaleNormal="80" workbookViewId="0">
      <selection sqref="A1:C8"/>
    </sheetView>
  </sheetViews>
  <sheetFormatPr defaultRowHeight="14.4" x14ac:dyDescent="0.3"/>
  <cols>
    <col min="1" max="1" width="14" customWidth="1"/>
    <col min="2" max="2" width="18.44140625" customWidth="1"/>
    <col min="6" max="6" width="19.5546875" customWidth="1"/>
    <col min="8" max="10" width="17.6640625" bestFit="1" customWidth="1"/>
  </cols>
  <sheetData>
    <row r="1" spans="1:11" x14ac:dyDescent="0.3">
      <c r="A1" s="1" t="s">
        <v>0</v>
      </c>
      <c r="B1" s="2" t="s">
        <v>1</v>
      </c>
      <c r="C1" s="3" t="s">
        <v>2</v>
      </c>
    </row>
    <row r="2" spans="1:11" x14ac:dyDescent="0.3">
      <c r="A2" s="4">
        <v>20</v>
      </c>
      <c r="B2" s="5">
        <v>10</v>
      </c>
      <c r="C2" s="6">
        <v>12</v>
      </c>
    </row>
    <row r="3" spans="1:11" ht="15" thickBot="1" x14ac:dyDescent="0.35">
      <c r="A3" s="4">
        <v>26</v>
      </c>
      <c r="B3" s="7">
        <v>20</v>
      </c>
      <c r="C3" s="6">
        <v>15</v>
      </c>
    </row>
    <row r="4" spans="1:11" x14ac:dyDescent="0.3">
      <c r="A4" s="4">
        <v>30</v>
      </c>
      <c r="B4" s="7">
        <v>25</v>
      </c>
      <c r="C4" s="6">
        <v>10</v>
      </c>
      <c r="F4" s="15" t="s">
        <v>0</v>
      </c>
      <c r="G4" s="16"/>
      <c r="H4" s="15" t="s">
        <v>1</v>
      </c>
      <c r="I4" s="16"/>
      <c r="J4" s="15" t="s">
        <v>2</v>
      </c>
      <c r="K4" s="16"/>
    </row>
    <row r="5" spans="1:11" x14ac:dyDescent="0.3">
      <c r="A5" s="4">
        <v>35</v>
      </c>
      <c r="B5" s="7">
        <v>30</v>
      </c>
      <c r="C5" s="6">
        <v>20</v>
      </c>
      <c r="F5" s="17"/>
      <c r="G5" s="18"/>
      <c r="H5" s="17"/>
      <c r="I5" s="18"/>
      <c r="J5" s="17"/>
      <c r="K5" s="18"/>
    </row>
    <row r="6" spans="1:11" x14ac:dyDescent="0.3">
      <c r="A6" s="4">
        <v>38</v>
      </c>
      <c r="B6" s="7">
        <v>35</v>
      </c>
      <c r="C6" s="6">
        <v>25</v>
      </c>
      <c r="F6" s="17" t="s">
        <v>3</v>
      </c>
      <c r="G6" s="18">
        <v>33.428571428571431</v>
      </c>
      <c r="H6" s="17" t="s">
        <v>3</v>
      </c>
      <c r="I6" s="18">
        <v>32.857142857142854</v>
      </c>
      <c r="J6" s="17" t="s">
        <v>3</v>
      </c>
      <c r="K6" s="18">
        <v>16</v>
      </c>
    </row>
    <row r="7" spans="1:11" x14ac:dyDescent="0.3">
      <c r="A7" s="4">
        <v>40</v>
      </c>
      <c r="B7" s="7">
        <v>50</v>
      </c>
      <c r="C7" s="6">
        <v>20</v>
      </c>
      <c r="F7" s="17" t="s">
        <v>4</v>
      </c>
      <c r="G7" s="18">
        <v>3.2649447078898928</v>
      </c>
      <c r="H7" s="17" t="s">
        <v>4</v>
      </c>
      <c r="I7" s="18">
        <v>6.5335346352439254</v>
      </c>
      <c r="J7" s="17" t="s">
        <v>4</v>
      </c>
      <c r="K7" s="18">
        <v>2.193062655175134</v>
      </c>
    </row>
    <row r="8" spans="1:11" ht="15" thickBot="1" x14ac:dyDescent="0.35">
      <c r="A8" s="8">
        <v>45</v>
      </c>
      <c r="B8" s="9">
        <v>60</v>
      </c>
      <c r="C8" s="10">
        <v>10</v>
      </c>
      <c r="F8" s="17" t="s">
        <v>5</v>
      </c>
      <c r="G8" s="18">
        <v>35</v>
      </c>
      <c r="H8" s="17" t="s">
        <v>5</v>
      </c>
      <c r="I8" s="18">
        <v>30</v>
      </c>
      <c r="J8" s="17" t="s">
        <v>5</v>
      </c>
      <c r="K8" s="18">
        <v>15</v>
      </c>
    </row>
    <row r="9" spans="1:11" x14ac:dyDescent="0.3">
      <c r="F9" s="17" t="s">
        <v>6</v>
      </c>
      <c r="G9" s="18" t="e">
        <v>#N/A</v>
      </c>
      <c r="H9" s="17" t="s">
        <v>6</v>
      </c>
      <c r="I9" s="18" t="e">
        <v>#N/A</v>
      </c>
      <c r="J9" s="17" t="s">
        <v>6</v>
      </c>
      <c r="K9" s="18">
        <v>10</v>
      </c>
    </row>
    <row r="10" spans="1:11" x14ac:dyDescent="0.3">
      <c r="F10" s="17" t="s">
        <v>7</v>
      </c>
      <c r="G10" s="18">
        <v>8.6382317414530814</v>
      </c>
      <c r="H10" s="17" t="s">
        <v>7</v>
      </c>
      <c r="I10" s="18">
        <v>17.286107827082528</v>
      </c>
      <c r="J10" s="17" t="s">
        <v>7</v>
      </c>
      <c r="K10" s="18">
        <v>5.8022983951764031</v>
      </c>
    </row>
    <row r="11" spans="1:11" x14ac:dyDescent="0.3">
      <c r="F11" s="17" t="s">
        <v>8</v>
      </c>
      <c r="G11" s="18">
        <v>74.619047619047549</v>
      </c>
      <c r="H11" s="17" t="s">
        <v>8</v>
      </c>
      <c r="I11" s="18">
        <v>298.80952380952385</v>
      </c>
      <c r="J11" s="17" t="s">
        <v>8</v>
      </c>
      <c r="K11" s="18">
        <v>33.666666666666664</v>
      </c>
    </row>
    <row r="12" spans="1:11" x14ac:dyDescent="0.3">
      <c r="F12" s="17" t="s">
        <v>9</v>
      </c>
      <c r="G12" s="18">
        <v>-0.71176250433213184</v>
      </c>
      <c r="H12" s="17" t="s">
        <v>9</v>
      </c>
      <c r="I12" s="18">
        <v>-0.52192504880875035</v>
      </c>
      <c r="J12" s="17" t="s">
        <v>9</v>
      </c>
      <c r="K12" s="18">
        <v>-1.3148710910695041</v>
      </c>
    </row>
    <row r="13" spans="1:11" x14ac:dyDescent="0.3">
      <c r="F13" s="17" t="s">
        <v>10</v>
      </c>
      <c r="G13" s="18">
        <v>-0.33997952829660882</v>
      </c>
      <c r="H13" s="17" t="s">
        <v>10</v>
      </c>
      <c r="I13" s="18">
        <v>0.47294040315845209</v>
      </c>
      <c r="J13" s="17" t="s">
        <v>10</v>
      </c>
      <c r="K13" s="18">
        <v>0.43001054668692879</v>
      </c>
    </row>
    <row r="14" spans="1:11" x14ac:dyDescent="0.3">
      <c r="F14" s="17" t="s">
        <v>11</v>
      </c>
      <c r="G14" s="18">
        <v>25</v>
      </c>
      <c r="H14" s="17" t="s">
        <v>11</v>
      </c>
      <c r="I14" s="18">
        <v>50</v>
      </c>
      <c r="J14" s="17" t="s">
        <v>11</v>
      </c>
      <c r="K14" s="18">
        <v>15</v>
      </c>
    </row>
    <row r="15" spans="1:11" x14ac:dyDescent="0.3">
      <c r="F15" s="17" t="s">
        <v>12</v>
      </c>
      <c r="G15" s="18">
        <v>20</v>
      </c>
      <c r="H15" s="17" t="s">
        <v>12</v>
      </c>
      <c r="I15" s="18">
        <v>10</v>
      </c>
      <c r="J15" s="17" t="s">
        <v>12</v>
      </c>
      <c r="K15" s="18">
        <v>10</v>
      </c>
    </row>
    <row r="16" spans="1:11" x14ac:dyDescent="0.3">
      <c r="F16" s="17" t="s">
        <v>13</v>
      </c>
      <c r="G16" s="18">
        <v>45</v>
      </c>
      <c r="H16" s="17" t="s">
        <v>13</v>
      </c>
      <c r="I16" s="18">
        <v>60</v>
      </c>
      <c r="J16" s="17" t="s">
        <v>13</v>
      </c>
      <c r="K16" s="18">
        <v>25</v>
      </c>
    </row>
    <row r="17" spans="6:11" x14ac:dyDescent="0.3">
      <c r="F17" s="17" t="s">
        <v>14</v>
      </c>
      <c r="G17" s="18">
        <v>234</v>
      </c>
      <c r="H17" s="17" t="s">
        <v>14</v>
      </c>
      <c r="I17" s="18">
        <v>230</v>
      </c>
      <c r="J17" s="17" t="s">
        <v>14</v>
      </c>
      <c r="K17" s="18">
        <v>112</v>
      </c>
    </row>
    <row r="18" spans="6:11" ht="15" thickBot="1" x14ac:dyDescent="0.35">
      <c r="F18" s="19" t="s">
        <v>15</v>
      </c>
      <c r="G18" s="20">
        <v>7</v>
      </c>
      <c r="H18" s="19" t="s">
        <v>15</v>
      </c>
      <c r="I18" s="20">
        <v>7</v>
      </c>
      <c r="J18" s="19" t="s">
        <v>15</v>
      </c>
      <c r="K18" s="20">
        <v>7</v>
      </c>
    </row>
    <row r="19" spans="6:11" x14ac:dyDescent="0.3">
      <c r="I19" s="11"/>
      <c r="J19" s="11"/>
    </row>
    <row r="20" spans="6:11" x14ac:dyDescent="0.3">
      <c r="I20" s="11"/>
      <c r="J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8285-CB27-4CBD-A96F-44F6C3AAAA86}">
  <dimension ref="A1:I14"/>
  <sheetViews>
    <sheetView workbookViewId="0">
      <selection activeCell="G24" sqref="G24"/>
    </sheetView>
  </sheetViews>
  <sheetFormatPr defaultRowHeight="14.4" x14ac:dyDescent="0.3"/>
  <cols>
    <col min="1" max="1" width="13.6640625" bestFit="1" customWidth="1"/>
  </cols>
  <sheetData>
    <row r="1" spans="1:9" x14ac:dyDescent="0.3">
      <c r="A1" s="21" t="s">
        <v>0</v>
      </c>
    </row>
    <row r="2" spans="1:9" x14ac:dyDescent="0.3">
      <c r="A2" s="22">
        <v>20</v>
      </c>
    </row>
    <row r="3" spans="1:9" x14ac:dyDescent="0.3">
      <c r="A3" s="22">
        <v>26</v>
      </c>
    </row>
    <row r="4" spans="1:9" x14ac:dyDescent="0.3">
      <c r="A4" s="22">
        <v>30</v>
      </c>
      <c r="C4" s="25" t="s">
        <v>16</v>
      </c>
    </row>
    <row r="5" spans="1:9" ht="15" thickBot="1" x14ac:dyDescent="0.35">
      <c r="A5" s="22">
        <v>35</v>
      </c>
      <c r="C5">
        <v>20</v>
      </c>
    </row>
    <row r="6" spans="1:9" x14ac:dyDescent="0.3">
      <c r="A6" s="22">
        <v>38</v>
      </c>
      <c r="C6">
        <v>30</v>
      </c>
      <c r="F6" s="13" t="s">
        <v>16</v>
      </c>
      <c r="G6" s="13" t="s">
        <v>18</v>
      </c>
      <c r="H6" s="13" t="s">
        <v>16</v>
      </c>
      <c r="I6" s="13" t="s">
        <v>18</v>
      </c>
    </row>
    <row r="7" spans="1:9" x14ac:dyDescent="0.3">
      <c r="A7" s="22">
        <v>40</v>
      </c>
      <c r="C7">
        <v>40</v>
      </c>
      <c r="F7" s="26">
        <v>20</v>
      </c>
      <c r="G7" s="11">
        <v>2</v>
      </c>
      <c r="H7" s="26">
        <v>40</v>
      </c>
      <c r="I7" s="11">
        <v>5</v>
      </c>
    </row>
    <row r="8" spans="1:9" x14ac:dyDescent="0.3">
      <c r="A8" s="22">
        <v>45</v>
      </c>
      <c r="C8">
        <v>50</v>
      </c>
      <c r="F8" s="26">
        <v>30</v>
      </c>
      <c r="G8" s="11">
        <v>3</v>
      </c>
      <c r="H8" s="26">
        <v>30</v>
      </c>
      <c r="I8" s="11">
        <v>3</v>
      </c>
    </row>
    <row r="9" spans="1:9" x14ac:dyDescent="0.3">
      <c r="A9" s="23">
        <v>20</v>
      </c>
      <c r="F9" s="26">
        <v>40</v>
      </c>
      <c r="G9" s="11">
        <v>5</v>
      </c>
      <c r="H9" s="26">
        <v>50</v>
      </c>
      <c r="I9" s="11">
        <v>3</v>
      </c>
    </row>
    <row r="10" spans="1:9" x14ac:dyDescent="0.3">
      <c r="A10" s="23">
        <v>22</v>
      </c>
      <c r="F10" s="26">
        <v>50</v>
      </c>
      <c r="G10" s="11">
        <v>3</v>
      </c>
      <c r="H10" s="26">
        <v>20</v>
      </c>
      <c r="I10" s="11">
        <v>2</v>
      </c>
    </row>
    <row r="11" spans="1:9" ht="15" thickBot="1" x14ac:dyDescent="0.35">
      <c r="A11" s="23">
        <v>34</v>
      </c>
      <c r="F11" s="12" t="s">
        <v>17</v>
      </c>
      <c r="G11" s="12">
        <v>0</v>
      </c>
      <c r="H11" s="27" t="s">
        <v>17</v>
      </c>
      <c r="I11" s="12">
        <v>0</v>
      </c>
    </row>
    <row r="12" spans="1:9" x14ac:dyDescent="0.3">
      <c r="A12" s="23">
        <v>36</v>
      </c>
    </row>
    <row r="13" spans="1:9" x14ac:dyDescent="0.3">
      <c r="A13" s="23">
        <v>42</v>
      </c>
    </row>
    <row r="14" spans="1:9" x14ac:dyDescent="0.3">
      <c r="A14" s="23">
        <v>46</v>
      </c>
    </row>
  </sheetData>
  <sortState xmlns:xlrd2="http://schemas.microsoft.com/office/spreadsheetml/2017/richdata2" ref="H7:I11">
    <sortCondition descending="1" ref="I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08F0-280D-400B-9A62-4103741D7441}">
  <dimension ref="A1:E28"/>
  <sheetViews>
    <sheetView zoomScale="63" zoomScaleNormal="63" workbookViewId="0">
      <selection sqref="A1:C8"/>
    </sheetView>
  </sheetViews>
  <sheetFormatPr defaultRowHeight="14.4" x14ac:dyDescent="0.3"/>
  <cols>
    <col min="1" max="1" width="18.109375" bestFit="1" customWidth="1"/>
    <col min="2" max="2" width="19.6640625" customWidth="1"/>
    <col min="3" max="3" width="27.6640625" bestFit="1" customWidth="1"/>
    <col min="4" max="4" width="20" customWidth="1"/>
  </cols>
  <sheetData>
    <row r="1" spans="1:5" x14ac:dyDescent="0.3">
      <c r="A1" s="1" t="s">
        <v>0</v>
      </c>
      <c r="B1" s="2" t="s">
        <v>1</v>
      </c>
      <c r="C1" s="3" t="s">
        <v>2</v>
      </c>
    </row>
    <row r="2" spans="1:5" x14ac:dyDescent="0.3">
      <c r="A2" s="4">
        <v>20</v>
      </c>
      <c r="B2" s="5">
        <v>10</v>
      </c>
      <c r="C2" s="6">
        <v>12</v>
      </c>
    </row>
    <row r="3" spans="1:5" x14ac:dyDescent="0.3">
      <c r="A3" s="4">
        <v>26</v>
      </c>
      <c r="B3" s="7">
        <v>20</v>
      </c>
      <c r="C3" s="6">
        <v>15</v>
      </c>
    </row>
    <row r="4" spans="1:5" x14ac:dyDescent="0.3">
      <c r="A4" s="4">
        <v>30</v>
      </c>
      <c r="B4" s="7">
        <v>25</v>
      </c>
      <c r="C4" s="6">
        <v>10</v>
      </c>
    </row>
    <row r="5" spans="1:5" x14ac:dyDescent="0.3">
      <c r="A5" s="4">
        <v>35</v>
      </c>
      <c r="B5" s="7">
        <v>30</v>
      </c>
      <c r="C5" s="6">
        <v>20</v>
      </c>
    </row>
    <row r="6" spans="1:5" x14ac:dyDescent="0.3">
      <c r="A6" s="4">
        <v>38</v>
      </c>
      <c r="B6" s="7">
        <v>35</v>
      </c>
      <c r="C6" s="6">
        <v>25</v>
      </c>
    </row>
    <row r="7" spans="1:5" x14ac:dyDescent="0.3">
      <c r="A7" s="4">
        <v>40</v>
      </c>
      <c r="B7" s="7">
        <v>50</v>
      </c>
      <c r="C7" s="6">
        <v>20</v>
      </c>
    </row>
    <row r="8" spans="1:5" ht="15" thickBot="1" x14ac:dyDescent="0.35">
      <c r="A8" s="8">
        <v>45</v>
      </c>
      <c r="B8" s="9">
        <v>60</v>
      </c>
      <c r="C8" s="10">
        <v>10</v>
      </c>
    </row>
    <row r="10" spans="1:5" x14ac:dyDescent="0.3">
      <c r="C10" s="24" t="s">
        <v>22</v>
      </c>
    </row>
    <row r="12" spans="1:5" x14ac:dyDescent="0.3">
      <c r="B12" s="25" t="s">
        <v>19</v>
      </c>
      <c r="C12" s="28"/>
      <c r="D12" s="28"/>
      <c r="E12" s="29">
        <f>CORREL(A2:A8,C2:C8)</f>
        <v>0.28597119518312331</v>
      </c>
    </row>
    <row r="15" spans="1:5" x14ac:dyDescent="0.3">
      <c r="B15" s="25" t="s">
        <v>20</v>
      </c>
      <c r="C15" s="28"/>
      <c r="D15" s="28"/>
      <c r="E15" s="29">
        <f>CORREL(A2:A8,B2:B8)</f>
        <v>0.96149261564738342</v>
      </c>
    </row>
    <row r="18" spans="1:5" x14ac:dyDescent="0.3">
      <c r="B18" s="25" t="s">
        <v>21</v>
      </c>
      <c r="C18" s="28"/>
      <c r="D18" s="28"/>
      <c r="E18" s="29">
        <f>CORREL(B2:B8,C2:C8)</f>
        <v>0.10801021461548703</v>
      </c>
    </row>
    <row r="22" spans="1:5" x14ac:dyDescent="0.3">
      <c r="B22" s="30" t="s">
        <v>23</v>
      </c>
    </row>
    <row r="24" spans="1:5" ht="15" thickBot="1" x14ac:dyDescent="0.35"/>
    <row r="25" spans="1:5" x14ac:dyDescent="0.3">
      <c r="A25" s="13"/>
      <c r="B25" s="13" t="s">
        <v>0</v>
      </c>
      <c r="C25" s="13" t="s">
        <v>1</v>
      </c>
      <c r="D25" s="13" t="s">
        <v>2</v>
      </c>
    </row>
    <row r="26" spans="1:5" x14ac:dyDescent="0.3">
      <c r="A26" s="11" t="s">
        <v>0</v>
      </c>
      <c r="B26" s="11">
        <v>1</v>
      </c>
      <c r="C26" s="11"/>
      <c r="D26" s="11"/>
    </row>
    <row r="27" spans="1:5" x14ac:dyDescent="0.3">
      <c r="A27" s="11" t="s">
        <v>1</v>
      </c>
      <c r="B27" s="11">
        <v>0.96149261564738342</v>
      </c>
      <c r="C27" s="11">
        <v>1</v>
      </c>
      <c r="D27" s="11"/>
    </row>
    <row r="28" spans="1:5" ht="15" thickBot="1" x14ac:dyDescent="0.35">
      <c r="A28" s="12" t="s">
        <v>2</v>
      </c>
      <c r="B28" s="12">
        <v>0.28597119518312331</v>
      </c>
      <c r="C28" s="12">
        <v>0.10801021461548703</v>
      </c>
      <c r="D28" s="1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B05F-4966-4143-BBE9-225BA6E34C1A}">
  <dimension ref="A1:F8"/>
  <sheetViews>
    <sheetView workbookViewId="0">
      <selection activeCell="F6" sqref="F6:F8"/>
    </sheetView>
  </sheetViews>
  <sheetFormatPr defaultRowHeight="14.4" x14ac:dyDescent="0.3"/>
  <cols>
    <col min="1" max="1" width="13.6640625" bestFit="1" customWidth="1"/>
    <col min="2" max="2" width="18.77734375" bestFit="1" customWidth="1"/>
    <col min="3" max="3" width="9.21875" bestFit="1" customWidth="1"/>
    <col min="5" max="5" width="16.109375" bestFit="1" customWidth="1"/>
    <col min="6" max="6" width="16.44140625" bestFit="1" customWidth="1"/>
  </cols>
  <sheetData>
    <row r="1" spans="1:6" x14ac:dyDescent="0.3">
      <c r="A1" s="1" t="s">
        <v>0</v>
      </c>
      <c r="B1" s="2" t="s">
        <v>1</v>
      </c>
      <c r="C1" s="3" t="s">
        <v>2</v>
      </c>
    </row>
    <row r="2" spans="1:6" x14ac:dyDescent="0.3">
      <c r="A2" s="4">
        <v>20</v>
      </c>
      <c r="B2" s="5">
        <v>10</v>
      </c>
      <c r="C2" s="6">
        <v>12</v>
      </c>
    </row>
    <row r="3" spans="1:6" x14ac:dyDescent="0.3">
      <c r="A3" s="4">
        <v>26</v>
      </c>
      <c r="B3" s="7">
        <v>20</v>
      </c>
      <c r="C3" s="6">
        <v>15</v>
      </c>
    </row>
    <row r="4" spans="1:6" x14ac:dyDescent="0.3">
      <c r="A4" s="4">
        <v>30</v>
      </c>
      <c r="B4" s="7">
        <v>25</v>
      </c>
      <c r="C4" s="6">
        <v>10</v>
      </c>
    </row>
    <row r="5" spans="1:6" x14ac:dyDescent="0.3">
      <c r="A5" s="4">
        <v>35</v>
      </c>
      <c r="B5" s="7">
        <v>30</v>
      </c>
      <c r="C5" s="6">
        <v>20</v>
      </c>
      <c r="E5" s="25" t="s">
        <v>24</v>
      </c>
      <c r="F5" s="31" t="s">
        <v>25</v>
      </c>
    </row>
    <row r="6" spans="1:6" x14ac:dyDescent="0.3">
      <c r="A6" s="4">
        <v>38</v>
      </c>
      <c r="B6" s="7">
        <v>35</v>
      </c>
      <c r="C6" s="6">
        <v>25</v>
      </c>
      <c r="E6">
        <v>26</v>
      </c>
      <c r="F6">
        <v>30</v>
      </c>
    </row>
    <row r="7" spans="1:6" x14ac:dyDescent="0.3">
      <c r="A7" s="4">
        <v>40</v>
      </c>
      <c r="B7" s="7">
        <v>50</v>
      </c>
      <c r="C7" s="6">
        <v>20</v>
      </c>
      <c r="E7">
        <v>35</v>
      </c>
      <c r="F7">
        <v>40</v>
      </c>
    </row>
    <row r="8" spans="1:6" ht="15" thickBot="1" x14ac:dyDescent="0.35">
      <c r="A8" s="8">
        <v>45</v>
      </c>
      <c r="B8" s="9">
        <v>60</v>
      </c>
      <c r="C8" s="10">
        <v>10</v>
      </c>
      <c r="E8">
        <v>40</v>
      </c>
      <c r="F8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28EC-A9E9-43E1-883C-E4F2F24EFC1E}">
  <dimension ref="A1:M38"/>
  <sheetViews>
    <sheetView tabSelected="1" zoomScale="70" zoomScaleNormal="70" workbookViewId="0">
      <selection activeCell="BA32" sqref="BA32"/>
    </sheetView>
  </sheetViews>
  <sheetFormatPr defaultRowHeight="14.4" x14ac:dyDescent="0.3"/>
  <cols>
    <col min="5" max="5" width="17.5546875" bestFit="1" customWidth="1"/>
  </cols>
  <sheetData>
    <row r="1" spans="1:6" ht="15" thickBot="1" x14ac:dyDescent="0.35"/>
    <row r="2" spans="1:6" x14ac:dyDescent="0.3">
      <c r="A2" s="1" t="s">
        <v>0</v>
      </c>
      <c r="B2" s="2" t="s">
        <v>1</v>
      </c>
      <c r="C2" s="3" t="s">
        <v>2</v>
      </c>
      <c r="F2" s="24" t="s">
        <v>27</v>
      </c>
    </row>
    <row r="3" spans="1:6" x14ac:dyDescent="0.3">
      <c r="A3" s="4">
        <v>20</v>
      </c>
      <c r="B3" s="5">
        <v>10</v>
      </c>
      <c r="C3" s="6">
        <v>12</v>
      </c>
      <c r="F3" s="24" t="s">
        <v>28</v>
      </c>
    </row>
    <row r="4" spans="1:6" x14ac:dyDescent="0.3">
      <c r="A4" s="4">
        <v>26</v>
      </c>
      <c r="B4" s="7">
        <v>20</v>
      </c>
      <c r="C4" s="6">
        <v>15</v>
      </c>
    </row>
    <row r="5" spans="1:6" x14ac:dyDescent="0.3">
      <c r="A5" s="4">
        <v>30</v>
      </c>
      <c r="B5" s="7">
        <v>25</v>
      </c>
      <c r="C5" s="6">
        <v>10</v>
      </c>
    </row>
    <row r="6" spans="1:6" x14ac:dyDescent="0.3">
      <c r="A6" s="4">
        <v>35</v>
      </c>
      <c r="B6" s="7">
        <v>30</v>
      </c>
      <c r="C6" s="6">
        <v>20</v>
      </c>
    </row>
    <row r="7" spans="1:6" x14ac:dyDescent="0.3">
      <c r="A7" s="4">
        <v>38</v>
      </c>
      <c r="B7" s="7">
        <v>35</v>
      </c>
      <c r="C7" s="6">
        <v>25</v>
      </c>
      <c r="E7" t="s">
        <v>26</v>
      </c>
    </row>
    <row r="8" spans="1:6" ht="15" thickBot="1" x14ac:dyDescent="0.35">
      <c r="A8" s="4">
        <v>40</v>
      </c>
      <c r="B8" s="7">
        <v>50</v>
      </c>
      <c r="C8" s="6">
        <v>20</v>
      </c>
    </row>
    <row r="9" spans="1:6" ht="15" thickBot="1" x14ac:dyDescent="0.35">
      <c r="A9" s="8">
        <v>45</v>
      </c>
      <c r="B9" s="9">
        <v>60</v>
      </c>
      <c r="C9" s="10">
        <v>10</v>
      </c>
      <c r="E9" s="14" t="s">
        <v>29</v>
      </c>
      <c r="F9" s="14"/>
    </row>
    <row r="10" spans="1:6" x14ac:dyDescent="0.3">
      <c r="E10" s="11" t="s">
        <v>30</v>
      </c>
      <c r="F10" s="11">
        <v>0.67140778703765924</v>
      </c>
    </row>
    <row r="11" spans="1:6" x14ac:dyDescent="0.3">
      <c r="E11" s="11" t="s">
        <v>31</v>
      </c>
      <c r="F11" s="11">
        <v>0.45078841649480683</v>
      </c>
    </row>
    <row r="12" spans="1:6" x14ac:dyDescent="0.3">
      <c r="E12" s="11" t="s">
        <v>32</v>
      </c>
      <c r="F12" s="11">
        <v>0.17618262474221025</v>
      </c>
    </row>
    <row r="13" spans="1:6" x14ac:dyDescent="0.3">
      <c r="E13" s="11" t="s">
        <v>4</v>
      </c>
      <c r="F13" s="11">
        <v>5.2664205079932858</v>
      </c>
    </row>
    <row r="14" spans="1:6" ht="15" thickBot="1" x14ac:dyDescent="0.35">
      <c r="E14" s="12" t="s">
        <v>33</v>
      </c>
      <c r="F14" s="12">
        <v>7</v>
      </c>
    </row>
    <row r="16" spans="1:6" ht="15" thickBot="1" x14ac:dyDescent="0.35">
      <c r="E16" t="s">
        <v>34</v>
      </c>
    </row>
    <row r="17" spans="5:13" x14ac:dyDescent="0.3">
      <c r="E17" s="13"/>
      <c r="F17" s="13" t="s">
        <v>39</v>
      </c>
      <c r="G17" s="13" t="s">
        <v>40</v>
      </c>
      <c r="H17" s="13" t="s">
        <v>41</v>
      </c>
      <c r="I17" s="13" t="s">
        <v>42</v>
      </c>
      <c r="J17" s="13" t="s">
        <v>43</v>
      </c>
    </row>
    <row r="18" spans="5:13" x14ac:dyDescent="0.3">
      <c r="E18" s="11" t="s">
        <v>35</v>
      </c>
      <c r="F18" s="11">
        <v>2</v>
      </c>
      <c r="G18" s="11">
        <v>91.059260131950978</v>
      </c>
      <c r="H18" s="11">
        <v>45.529630065975489</v>
      </c>
      <c r="I18" s="11">
        <v>1.641583790413788</v>
      </c>
      <c r="J18" s="11">
        <v>0.30163336345628172</v>
      </c>
    </row>
    <row r="19" spans="5:13" x14ac:dyDescent="0.3">
      <c r="E19" s="11" t="s">
        <v>36</v>
      </c>
      <c r="F19" s="11">
        <v>4</v>
      </c>
      <c r="G19" s="11">
        <v>110.94073986804902</v>
      </c>
      <c r="H19" s="11">
        <v>27.735184967012255</v>
      </c>
      <c r="I19" s="11"/>
      <c r="J19" s="11"/>
    </row>
    <row r="20" spans="5:13" ht="15" thickBot="1" x14ac:dyDescent="0.35">
      <c r="E20" s="12" t="s">
        <v>37</v>
      </c>
      <c r="F20" s="12">
        <v>6</v>
      </c>
      <c r="G20" s="12">
        <v>202</v>
      </c>
      <c r="H20" s="12"/>
      <c r="I20" s="12"/>
      <c r="J20" s="12"/>
    </row>
    <row r="21" spans="5:13" ht="15" thickBot="1" x14ac:dyDescent="0.35"/>
    <row r="22" spans="5:13" x14ac:dyDescent="0.3">
      <c r="E22" s="13"/>
      <c r="F22" s="13" t="s">
        <v>44</v>
      </c>
      <c r="G22" s="13" t="s">
        <v>4</v>
      </c>
      <c r="H22" s="13" t="s">
        <v>45</v>
      </c>
      <c r="I22" s="13" t="s">
        <v>46</v>
      </c>
      <c r="J22" s="13" t="s">
        <v>47</v>
      </c>
      <c r="K22" s="13" t="s">
        <v>48</v>
      </c>
      <c r="L22" s="13" t="s">
        <v>49</v>
      </c>
      <c r="M22" s="13" t="s">
        <v>50</v>
      </c>
    </row>
    <row r="23" spans="5:13" x14ac:dyDescent="0.3">
      <c r="E23" s="11" t="s">
        <v>38</v>
      </c>
      <c r="F23" s="11">
        <v>-13.762959472196041</v>
      </c>
      <c r="G23" s="11">
        <v>16.610662727188043</v>
      </c>
      <c r="H23" s="11">
        <v>-0.82856173159599877</v>
      </c>
      <c r="I23" s="11">
        <v>0.4539282486124292</v>
      </c>
      <c r="J23" s="11">
        <v>-59.881552695188716</v>
      </c>
      <c r="K23" s="11">
        <v>32.355633750796628</v>
      </c>
      <c r="L23" s="11">
        <v>-59.881552695188716</v>
      </c>
      <c r="M23" s="11">
        <v>32.355633750796628</v>
      </c>
    </row>
    <row r="24" spans="5:13" x14ac:dyDescent="0.3">
      <c r="E24" s="11" t="s">
        <v>0</v>
      </c>
      <c r="F24" s="11">
        <v>1.6195805843543827</v>
      </c>
      <c r="G24" s="11">
        <v>0.90562772286533511</v>
      </c>
      <c r="H24" s="11">
        <v>1.788351376026958</v>
      </c>
      <c r="I24" s="11">
        <v>0.14823496196201452</v>
      </c>
      <c r="J24" s="11">
        <v>-0.89484507392650059</v>
      </c>
      <c r="K24" s="11">
        <v>4.1340062426352659</v>
      </c>
      <c r="L24" s="11">
        <v>-0.89484507392650059</v>
      </c>
      <c r="M24" s="11">
        <v>4.1340062426352659</v>
      </c>
    </row>
    <row r="25" spans="5:13" ht="15" thickBot="1" x14ac:dyDescent="0.35">
      <c r="E25" s="12" t="s">
        <v>1</v>
      </c>
      <c r="F25" s="12">
        <v>-0.74191800188501433</v>
      </c>
      <c r="G25" s="12">
        <v>0.45256122545635846</v>
      </c>
      <c r="H25" s="12">
        <v>-1.6393759786576307</v>
      </c>
      <c r="I25" s="12">
        <v>0.17647810450746465</v>
      </c>
      <c r="J25" s="12">
        <v>-1.9984294011056356</v>
      </c>
      <c r="K25" s="12">
        <v>0.51459339733560705</v>
      </c>
      <c r="L25" s="12">
        <v>-1.9984294011056356</v>
      </c>
      <c r="M25" s="12">
        <v>0.51459339733560705</v>
      </c>
    </row>
    <row r="29" spans="5:13" x14ac:dyDescent="0.3">
      <c r="E29" t="s">
        <v>51</v>
      </c>
      <c r="I29" t="s">
        <v>55</v>
      </c>
    </row>
    <row r="30" spans="5:13" ht="15" thickBot="1" x14ac:dyDescent="0.35"/>
    <row r="31" spans="5:13" x14ac:dyDescent="0.3">
      <c r="E31" s="13" t="s">
        <v>52</v>
      </c>
      <c r="F31" s="13" t="s">
        <v>53</v>
      </c>
      <c r="G31" s="13" t="s">
        <v>54</v>
      </c>
      <c r="I31" s="13" t="s">
        <v>56</v>
      </c>
      <c r="J31" s="13" t="s">
        <v>2</v>
      </c>
    </row>
    <row r="32" spans="5:13" x14ac:dyDescent="0.3">
      <c r="E32" s="11">
        <v>1</v>
      </c>
      <c r="F32" s="11">
        <v>11.209472196041469</v>
      </c>
      <c r="G32" s="11">
        <v>0.79052780395853084</v>
      </c>
      <c r="I32" s="11">
        <v>7.1428571428571432</v>
      </c>
      <c r="J32" s="11">
        <v>10</v>
      </c>
    </row>
    <row r="33" spans="5:10" x14ac:dyDescent="0.3">
      <c r="E33" s="11">
        <v>2</v>
      </c>
      <c r="F33" s="11">
        <v>13.507775683317618</v>
      </c>
      <c r="G33" s="11">
        <v>1.4922243166823819</v>
      </c>
      <c r="I33" s="11">
        <v>21.428571428571431</v>
      </c>
      <c r="J33" s="11">
        <v>10</v>
      </c>
    </row>
    <row r="34" spans="5:10" x14ac:dyDescent="0.3">
      <c r="E34" s="11">
        <v>3</v>
      </c>
      <c r="F34" s="11">
        <v>16.276508011310082</v>
      </c>
      <c r="G34" s="11">
        <v>-6.2765080113100815</v>
      </c>
      <c r="I34" s="11">
        <v>35.714285714285715</v>
      </c>
      <c r="J34" s="11">
        <v>12</v>
      </c>
    </row>
    <row r="35" spans="5:10" x14ac:dyDescent="0.3">
      <c r="E35" s="11">
        <v>4</v>
      </c>
      <c r="F35" s="11">
        <v>20.664820923656929</v>
      </c>
      <c r="G35" s="11">
        <v>-0.66482092365692935</v>
      </c>
      <c r="I35" s="11">
        <v>50.000000000000007</v>
      </c>
      <c r="J35" s="11">
        <v>15</v>
      </c>
    </row>
    <row r="36" spans="5:10" x14ac:dyDescent="0.3">
      <c r="E36" s="11">
        <v>5</v>
      </c>
      <c r="F36" s="11">
        <v>21.813972667294998</v>
      </c>
      <c r="G36" s="11">
        <v>3.1860273327050024</v>
      </c>
      <c r="I36" s="11">
        <v>64.285714285714292</v>
      </c>
      <c r="J36" s="11">
        <v>20</v>
      </c>
    </row>
    <row r="37" spans="5:10" x14ac:dyDescent="0.3">
      <c r="E37" s="11">
        <v>6</v>
      </c>
      <c r="F37" s="11">
        <v>13.924363807728547</v>
      </c>
      <c r="G37" s="11">
        <v>6.0756361922714532</v>
      </c>
      <c r="I37" s="11">
        <v>78.571428571428569</v>
      </c>
      <c r="J37" s="11">
        <v>20</v>
      </c>
    </row>
    <row r="38" spans="5:10" ht="15" thickBot="1" x14ac:dyDescent="0.35">
      <c r="E38" s="12">
        <v>7</v>
      </c>
      <c r="F38" s="12">
        <v>14.603086710650324</v>
      </c>
      <c r="G38" s="12">
        <v>-4.6030867106503237</v>
      </c>
      <c r="I38" s="12">
        <v>92.857142857142861</v>
      </c>
      <c r="J38" s="12">
        <v>25</v>
      </c>
    </row>
  </sheetData>
  <sortState xmlns:xlrd2="http://schemas.microsoft.com/office/spreadsheetml/2017/richdata2" ref="J32:J38">
    <sortCondition ref="J3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statistics</vt:lpstr>
      <vt:lpstr>Frequency of values</vt:lpstr>
      <vt:lpstr>Correlation</vt:lpstr>
      <vt:lpstr>Sampling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Udatha</dc:creator>
  <cp:lastModifiedBy>Mukesh Udatha</cp:lastModifiedBy>
  <dcterms:created xsi:type="dcterms:W3CDTF">2015-06-05T18:17:20Z</dcterms:created>
  <dcterms:modified xsi:type="dcterms:W3CDTF">2025-10-16T12:00:28Z</dcterms:modified>
</cp:coreProperties>
</file>