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C:\Users\mukes\OneDrive\Desktop\learning\Excel\Functions\"/>
    </mc:Choice>
  </mc:AlternateContent>
  <xr:revisionPtr revIDLastSave="302" documentId="13_ncr:1_{A6424B62-EBFA-4624-9807-DDE6DD89E383}" xr6:coauthVersionLast="47" xr6:coauthVersionMax="47" xr10:uidLastSave="{C14C3F4D-0864-48F9-A56B-2F0B57AE59C7}"/>
  <bookViews>
    <workbookView xWindow="11424" yWindow="0" windowWidth="11712" windowHeight="12336" firstSheet="4" activeTab="4" xr2:uid="{00000000-000D-0000-FFFF-FFFF00000000}"/>
  </bookViews>
  <sheets>
    <sheet name="data" sheetId="2" r:id="rId1"/>
    <sheet name="sumif" sheetId="3" r:id="rId2"/>
    <sheet name="sumifs" sheetId="1" r:id="rId3"/>
    <sheet name="countif" sheetId="4" r:id="rId4"/>
    <sheet name="Countifs" sheetId="5" r:id="rId5"/>
  </sheets>
  <definedNames>
    <definedName name="_xlnm._FilterDatabase" localSheetId="3" hidden="1">countif!$L$12:$M$12</definedName>
    <definedName name="ExternalData_1" localSheetId="0" hidden="1">data!$A$1:$G$151</definedName>
    <definedName name="ExternalData_1" localSheetId="1" hidden="1">sumif!$A$1:$G$151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11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2" i="4"/>
  <c r="L13" i="4" a="1"/>
  <c r="L13" i="4"/>
  <c r="L6" i="4"/>
  <c r="H152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4" i="4"/>
  <c r="H5" i="4"/>
  <c r="H6" i="4"/>
  <c r="H7" i="4"/>
  <c r="H8" i="4"/>
  <c r="H9" i="4"/>
  <c r="H10" i="4"/>
  <c r="H3" i="4"/>
  <c r="H2" i="4"/>
  <c r="M29" i="4"/>
  <c r="J19" i="1"/>
  <c r="J13" i="1"/>
  <c r="J8" i="1"/>
  <c r="I18" i="3"/>
  <c r="I14" i="3"/>
  <c r="I6" i="3"/>
  <c r="N14" i="4" l="1"/>
  <c r="N15" i="4"/>
  <c r="N16" i="4"/>
  <c r="N17" i="4"/>
  <c r="N18" i="4"/>
  <c r="N19" i="4"/>
  <c r="N20" i="4"/>
  <c r="N21" i="4"/>
  <c r="N22" i="4"/>
  <c r="N23" i="4"/>
  <c r="M14" i="4"/>
  <c r="M15" i="4"/>
  <c r="M16" i="4"/>
  <c r="M17" i="4"/>
  <c r="M18" i="4"/>
  <c r="M19" i="4"/>
  <c r="M20" i="4"/>
  <c r="M21" i="4"/>
  <c r="M22" i="4"/>
  <c r="M23" i="4"/>
  <c r="N13" i="4" l="1"/>
  <c r="M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42F6D-A2C6-40D3-9534-062F45E002C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24989C5C-CA61-4978-A940-7CA80FE14261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<sst xmlns="http://schemas.openxmlformats.org/spreadsheetml/2006/main" count="2901" uniqueCount="171">
  <si>
    <t>OrderDate</t>
  </si>
  <si>
    <t>Region</t>
  </si>
  <si>
    <t>Rep</t>
  </si>
  <si>
    <t>Item</t>
  </si>
  <si>
    <t>Units</t>
  </si>
  <si>
    <t>Unit Cost</t>
  </si>
  <si>
    <t>Revenue</t>
  </si>
  <si>
    <t>01/15/19</t>
  </si>
  <si>
    <t>Central</t>
  </si>
  <si>
    <t>Jardine</t>
  </si>
  <si>
    <t>Folder</t>
  </si>
  <si>
    <t>09/24/19</t>
  </si>
  <si>
    <t>West</t>
  </si>
  <si>
    <t>Sorvino</t>
  </si>
  <si>
    <t>Binder</t>
  </si>
  <si>
    <t>09/06/19</t>
  </si>
  <si>
    <t>South</t>
  </si>
  <si>
    <t>Howard</t>
  </si>
  <si>
    <t>04/13/19</t>
  </si>
  <si>
    <t>North</t>
  </si>
  <si>
    <t>Marker</t>
  </si>
  <si>
    <t>01/24/19</t>
  </si>
  <si>
    <t>East</t>
  </si>
  <si>
    <t>Kivell</t>
  </si>
  <si>
    <t>Notebook</t>
  </si>
  <si>
    <t>11/27/19</t>
  </si>
  <si>
    <t>Morgan</t>
  </si>
  <si>
    <t>04/25/19</t>
  </si>
  <si>
    <t>09/07/19</t>
  </si>
  <si>
    <t>04/17/19</t>
  </si>
  <si>
    <t>01/18/19</t>
  </si>
  <si>
    <t>12/05/19</t>
  </si>
  <si>
    <t>Jones</t>
  </si>
  <si>
    <t>Pencil</t>
  </si>
  <si>
    <t>10/29/19</t>
  </si>
  <si>
    <t>Eraser</t>
  </si>
  <si>
    <t>06/10/19</t>
  </si>
  <si>
    <t>01/01/20</t>
  </si>
  <si>
    <t>Stapler</t>
  </si>
  <si>
    <t>08/21/19</t>
  </si>
  <si>
    <t>Andrews</t>
  </si>
  <si>
    <t>09/22/19</t>
  </si>
  <si>
    <t>07/17/19</t>
  </si>
  <si>
    <t>Paper</t>
  </si>
  <si>
    <t>06/15/19</t>
  </si>
  <si>
    <t>01/30/19</t>
  </si>
  <si>
    <t>Gill</t>
  </si>
  <si>
    <t>Desk</t>
  </si>
  <si>
    <t>01/23/19</t>
  </si>
  <si>
    <t>02/05/19</t>
  </si>
  <si>
    <t>03/27/19</t>
  </si>
  <si>
    <t>07/23/19</t>
  </si>
  <si>
    <t>Smith</t>
  </si>
  <si>
    <t>08/09/19</t>
  </si>
  <si>
    <t>02/14/19</t>
  </si>
  <si>
    <t>09/15/19</t>
  </si>
  <si>
    <t>08/12/19</t>
  </si>
  <si>
    <t>04/10/19</t>
  </si>
  <si>
    <t>08/19/19</t>
  </si>
  <si>
    <t>11/25/19</t>
  </si>
  <si>
    <t>Blake</t>
  </si>
  <si>
    <t>10/30/19</t>
  </si>
  <si>
    <t>09/27/19</t>
  </si>
  <si>
    <t>05/18/19</t>
  </si>
  <si>
    <t>01/11/19</t>
  </si>
  <si>
    <t>08/31/19</t>
  </si>
  <si>
    <t>03/22/19</t>
  </si>
  <si>
    <t>03/28/19</t>
  </si>
  <si>
    <t>02/24/19</t>
  </si>
  <si>
    <t>09/09/19</t>
  </si>
  <si>
    <t>03/13/19</t>
  </si>
  <si>
    <t>04/28/19</t>
  </si>
  <si>
    <t>06/23/19</t>
  </si>
  <si>
    <t>07/15/19</t>
  </si>
  <si>
    <t>05/31/19</t>
  </si>
  <si>
    <t>11/14/19</t>
  </si>
  <si>
    <t>02/20/19</t>
  </si>
  <si>
    <t>Pen</t>
  </si>
  <si>
    <t>08/04/19</t>
  </si>
  <si>
    <t>12/14/19</t>
  </si>
  <si>
    <t>09/01/19</t>
  </si>
  <si>
    <t>03/09/19</t>
  </si>
  <si>
    <t>04/30/19</t>
  </si>
  <si>
    <t>05/07/19</t>
  </si>
  <si>
    <t>06/17/19</t>
  </si>
  <si>
    <t>10/05/19</t>
  </si>
  <si>
    <t>11/04/19</t>
  </si>
  <si>
    <t>04/09/19</t>
  </si>
  <si>
    <t>07/18/19</t>
  </si>
  <si>
    <t>08/13/19</t>
  </si>
  <si>
    <t>08/02/19</t>
  </si>
  <si>
    <t>02/04/19</t>
  </si>
  <si>
    <t>06/14/19</t>
  </si>
  <si>
    <t>05/14/19</t>
  </si>
  <si>
    <t>07/26/19</t>
  </si>
  <si>
    <t>06/16/19</t>
  </si>
  <si>
    <t>03/21/19</t>
  </si>
  <si>
    <t>08/22/19</t>
  </si>
  <si>
    <t>03/02/19</t>
  </si>
  <si>
    <t>07/31/19</t>
  </si>
  <si>
    <t>12/24/19</t>
  </si>
  <si>
    <t>07/08/19</t>
  </si>
  <si>
    <t>04/01/19</t>
  </si>
  <si>
    <t>05/05/19</t>
  </si>
  <si>
    <t>11/28/19</t>
  </si>
  <si>
    <t>05/29/19</t>
  </si>
  <si>
    <t>01/25/19</t>
  </si>
  <si>
    <t>01/03/19</t>
  </si>
  <si>
    <t>07/14/19</t>
  </si>
  <si>
    <t>12/06/19</t>
  </si>
  <si>
    <t>01/14/19</t>
  </si>
  <si>
    <t>05/27/19</t>
  </si>
  <si>
    <t>08/14/19</t>
  </si>
  <si>
    <t>09/14/19</t>
  </si>
  <si>
    <t>07/02/19</t>
  </si>
  <si>
    <t>10/25/19</t>
  </si>
  <si>
    <t>12/19/19</t>
  </si>
  <si>
    <t>02/11/19</t>
  </si>
  <si>
    <t>03/17/19</t>
  </si>
  <si>
    <t>04/03/19</t>
  </si>
  <si>
    <t>06/26/19</t>
  </si>
  <si>
    <t>08/17/19</t>
  </si>
  <si>
    <t>04/12/19</t>
  </si>
  <si>
    <t>11/03/19</t>
  </si>
  <si>
    <t>08/11/19</t>
  </si>
  <si>
    <t>12/01/19</t>
  </si>
  <si>
    <t>04/07/19</t>
  </si>
  <si>
    <t>11/06/19</t>
  </si>
  <si>
    <t>02/23/19</t>
  </si>
  <si>
    <t>03/11/19</t>
  </si>
  <si>
    <t>09/21/19</t>
  </si>
  <si>
    <t>12/27/19</t>
  </si>
  <si>
    <t>09/16/19</t>
  </si>
  <si>
    <t>08/27/19</t>
  </si>
  <si>
    <t>12/11/19</t>
  </si>
  <si>
    <t>01/16/19</t>
  </si>
  <si>
    <t>05/13/19</t>
  </si>
  <si>
    <t>10/18/19</t>
  </si>
  <si>
    <t>05/17/19</t>
  </si>
  <si>
    <t>12/09/19</t>
  </si>
  <si>
    <t>10/13/19</t>
  </si>
  <si>
    <t>02/16/19</t>
  </si>
  <si>
    <t>02/26/19</t>
  </si>
  <si>
    <t>11/22/19</t>
  </si>
  <si>
    <t>12/21/19</t>
  </si>
  <si>
    <t>03/08/19</t>
  </si>
  <si>
    <t>08/28/19</t>
  </si>
  <si>
    <t>05/06/19</t>
  </si>
  <si>
    <t>01/13/19</t>
  </si>
  <si>
    <t>10/14/19</t>
  </si>
  <si>
    <t>06/03/19</t>
  </si>
  <si>
    <t>03/19/19</t>
  </si>
  <si>
    <t>03/01/19</t>
  </si>
  <si>
    <t>02/17/19</t>
  </si>
  <si>
    <t>07/27/19</t>
  </si>
  <si>
    <t>01/10/19</t>
  </si>
  <si>
    <t>Q) Find the total Units that were sold in the East recon</t>
  </si>
  <si>
    <t>Q) What was the total revenue generated from Binder</t>
  </si>
  <si>
    <t>Q) What was the total revenue generated from Pencil</t>
  </si>
  <si>
    <t>Q) What is the total revenue generated from the Central region where the item is a Pencil?</t>
  </si>
  <si>
    <t>Q) How many units were sold by sales representative Jones where the cost of each item was greater than 4?</t>
  </si>
  <si>
    <t>Q) How many units did Jones sell excluding Pencil item?</t>
  </si>
  <si>
    <t xml:space="preserve">sales </t>
  </si>
  <si>
    <t>Sales&gt;15</t>
  </si>
  <si>
    <t>Q) Find the total number of times Gill has a made a sale</t>
  </si>
  <si>
    <t>Q) Which sales representative made a sale more than 15 times</t>
  </si>
  <si>
    <t>Sales</t>
  </si>
  <si>
    <t>Sales  &gt;15</t>
  </si>
  <si>
    <t>Tiger</t>
  </si>
  <si>
    <t>Q) How many orders were placed from the East region after 10th Feb 2019?</t>
  </si>
  <si>
    <t>Q) How many times did Gill sell pencils?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</si>
</sst>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b/>
      <sz val="11"/>
      <color theme="0"/>
      <name val="Calibri"/>
      <scheme val="minor"/>
    </font>
    <font>
      <sz val="11"/>
      <color theme="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6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1" fillId="3" borderId="0" xfId="2"/>
    <xf numFmtId="0" fontId="2" fillId="2" borderId="1" xfId="1" applyBorder="1"/>
    <xf numFmtId="0" fontId="1" fillId="3" borderId="2" xfId="2" applyBorder="1"/>
    <xf numFmtId="0" fontId="3" fillId="4" borderId="0" xfId="3"/>
    <xf numFmtId="0" fontId="4" fillId="5" borderId="0" xfId="4"/>
    <xf numFmtId="0" fontId="8" fillId="0" borderId="0" xfId="0" applyFont="1" applyFill="1" applyBorder="1" applyAlignment="1"/>
    <xf numFmtId="0" fontId="7" fillId="0" borderId="0" xfId="0" applyFont="1" applyFill="1" applyBorder="1" applyAlignment="1"/>
    <xf numFmtId="0" fontId="8" fillId="0" borderId="0" xfId="0" applyNumberFormat="1" applyFont="1" applyFill="1" applyAlignment="1"/>
    <xf numFmtId="0" fontId="0" fillId="0" borderId="0" xfId="0" applyFont="1" applyFill="1" applyBorder="1" applyAlignment="1"/>
    <xf numFmtId="0" fontId="0" fillId="5" borderId="0" xfId="4" applyFont="1"/>
    <xf numFmtId="0" fontId="7" fillId="0" borderId="0" xfId="0" applyFont="1" applyFill="1" applyBorder="1" applyAlignment="1">
      <alignment wrapText="1"/>
    </xf>
    <xf numFmtId="0" fontId="9" fillId="7" borderId="3" xfId="0" applyFont="1" applyFill="1" applyBorder="1"/>
    <xf numFmtId="0" fontId="7" fillId="7" borderId="4" xfId="0" applyFont="1" applyFill="1" applyBorder="1" applyAlignment="1">
      <alignment wrapText="1"/>
    </xf>
    <xf numFmtId="0" fontId="7" fillId="0" borderId="2" xfId="0" applyFont="1" applyFill="1" applyBorder="1" applyAlignment="1">
      <alignment wrapText="1"/>
    </xf>
    <xf numFmtId="0" fontId="5" fillId="6" borderId="0" xfId="5" applyFont="1"/>
    <xf numFmtId="14" fontId="0" fillId="0" borderId="0" xfId="0" applyNumberFormat="1"/>
  </cellXfs>
  <cellStyles count="6">
    <cellStyle name="40% - Accent6" xfId="2" builtinId="51"/>
    <cellStyle name="Accent6" xfId="5" builtinId="49"/>
    <cellStyle name="Bad" xfId="4" builtinId="27"/>
    <cellStyle name="Good" xfId="3" builtinId="26"/>
    <cellStyle name="Neutral" xfId="1" builtinId="28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E5DDB9-E197-4DF2-98D3-FAFEBBE46137}" autoFormatId="16" applyNumberFormats="0" applyBorderFormats="0" applyFontFormats="0" applyPatternFormats="0" applyAlignmentFormats="0" applyWidthHeightFormats="0">
  <queryTableRefresh nextId="8">
    <queryTableFields count="7">
      <queryTableField id="1" name="OrderDate" tableColumnId="1"/>
      <queryTableField id="2" name="Region" tableColumnId="2"/>
      <queryTableField id="3" name="Rep" tableColumnId="3"/>
      <queryTableField id="4" name="Item" tableColumnId="4"/>
      <queryTableField id="5" name="Units" tableColumnId="5"/>
      <queryTableField id="6" name="Unit Cost" tableColumnId="6"/>
      <queryTableField id="7" name="Revenu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141DE7-B554-49F6-B286-8121DBAC14AD}" autoFormatId="16" applyNumberFormats="0" applyBorderFormats="0" applyFontFormats="0" applyPatternFormats="0" applyAlignmentFormats="0" applyWidthHeightFormats="0">
  <queryTableRefresh nextId="8">
    <queryTableFields count="7">
      <queryTableField id="1" name="OrderDate" tableColumnId="1"/>
      <queryTableField id="2" name="Region" tableColumnId="2"/>
      <queryTableField id="3" name="Rep" tableColumnId="3"/>
      <queryTableField id="4" name="Item" tableColumnId="4"/>
      <queryTableField id="5" name="Units" tableColumnId="5"/>
      <queryTableField id="6" name="Unit Cost" tableColumnId="6"/>
      <queryTableField id="7" name="Reven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CBDB2-8B5D-456C-88A7-047898EA70B9}" name="Sheet1" displayName="Sheet1" ref="A1:G151" tableType="queryTable" totalsRowShown="0">
  <autoFilter ref="A1:G151" xr:uid="{DB0CBDB2-8B5D-456C-88A7-047898EA70B9}"/>
  <tableColumns count="7">
    <tableColumn id="1" xr3:uid="{3D19725A-7FC2-47C6-8982-46CD624BCCFA}" uniqueName="1" name="OrderDate" queryTableFieldId="1" dataDxfId="25"/>
    <tableColumn id="2" xr3:uid="{432D7F8B-9EA1-48C6-B2E1-0CC89EE1ECFC}" uniqueName="2" name="Region" queryTableFieldId="2" dataDxfId="24"/>
    <tableColumn id="3" xr3:uid="{D3FF5DF0-BF58-4B09-B5BA-381BFB716049}" uniqueName="3" name="Rep" queryTableFieldId="3" dataDxfId="23"/>
    <tableColumn id="4" xr3:uid="{E78ADC6B-BBB0-4AAB-8600-51E879F560A2}" uniqueName="4" name="Item" queryTableFieldId="4" dataDxfId="22"/>
    <tableColumn id="5" xr3:uid="{6E52BE39-6E25-4AAD-8974-4D8839C550FB}" uniqueName="5" name="Units" queryTableFieldId="5"/>
    <tableColumn id="6" xr3:uid="{5E8D485F-72AF-4852-9F92-A840D5E72364}" uniqueName="6" name="Unit Cost" queryTableFieldId="6"/>
    <tableColumn id="7" xr3:uid="{E0470C27-D1D2-4DA8-B1CF-412EE431B628}" uniqueName="7" name="Revenu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D27900-B30F-41BA-928B-57594621203A}" name="Sheet13" displayName="Sheet13" ref="A1:G151" tableType="queryTable" totalsRowShown="0">
  <autoFilter ref="A1:G151" xr:uid="{DB0CBDB2-8B5D-456C-88A7-047898EA70B9}"/>
  <tableColumns count="7">
    <tableColumn id="1" xr3:uid="{8F3EE785-061A-4697-952C-B85A2E4243AB}" uniqueName="1" name="OrderDate" queryTableFieldId="1" dataDxfId="21"/>
    <tableColumn id="2" xr3:uid="{EFB329A1-63FC-400B-999E-7DE09871BE34}" uniqueName="2" name="Region" queryTableFieldId="2" dataDxfId="20"/>
    <tableColumn id="3" xr3:uid="{03B9CDAB-DCE6-4E89-92DA-B52492266491}" uniqueName="3" name="Rep" queryTableFieldId="3" dataDxfId="19"/>
    <tableColumn id="4" xr3:uid="{C6B38824-7EAC-4A02-BB4E-9DC2D42DE9F9}" uniqueName="4" name="Item" queryTableFieldId="4" dataDxfId="18"/>
    <tableColumn id="5" xr3:uid="{74EEAE74-F2C3-440F-86B6-1B18746CB7B2}" uniqueName="5" name="Units" queryTableFieldId="5"/>
    <tableColumn id="6" xr3:uid="{FB8FE62A-6057-4238-B178-5795E55F2531}" uniqueName="6" name="Unit Cost" queryTableFieldId="6"/>
    <tableColumn id="7" xr3:uid="{B27F1FEF-FC23-4239-B2F7-BD054275FE1E}" uniqueName="7" name="Revenu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C1DFA2-E548-4186-8CA4-A30F964EDB33}" name="Sheet14" displayName="Sheet14" ref="A1:G151" totalsRowShown="0">
  <autoFilter ref="A1:G151" xr:uid="{0FC1DFA2-E548-4186-8CA4-A30F964EDB33}">
    <filterColumn colId="5">
      <filters>
        <filter val="1.45"/>
        <filter val="1.54"/>
        <filter val="1.63"/>
        <filter val="1.74"/>
        <filter val="1.8"/>
        <filter val="1.98"/>
        <filter val="10.2"/>
        <filter val="10.53"/>
        <filter val="10.55"/>
        <filter val="10.66"/>
        <filter val="10.67"/>
        <filter val="10.9"/>
        <filter val="10.95"/>
        <filter val="11.13"/>
        <filter val="11.4"/>
        <filter val="11.41"/>
        <filter val="11.5"/>
        <filter val="11.72"/>
        <filter val="11.79"/>
        <filter val="11.82"/>
        <filter val="11.88"/>
        <filter val="12.15"/>
        <filter val="12.2"/>
        <filter val="12.42"/>
        <filter val="12.48"/>
        <filter val="12.5"/>
        <filter val="12.92"/>
        <filter val="12.98"/>
        <filter val="13.39"/>
        <filter val="13.5"/>
        <filter val="13.61"/>
        <filter val="14.06"/>
        <filter val="14.23"/>
        <filter val="14.3"/>
        <filter val="14.48"/>
        <filter val="15"/>
        <filter val="15.16"/>
        <filter val="15.27"/>
        <filter val="15.32"/>
        <filter val="15.35"/>
        <filter val="15.42"/>
        <filter val="15.54"/>
        <filter val="15.72"/>
        <filter val="15.85"/>
        <filter val="15.88"/>
        <filter val="16.13"/>
        <filter val="16.31"/>
        <filter val="16.36"/>
        <filter val="16.45"/>
        <filter val="16.57"/>
        <filter val="16.92"/>
        <filter val="17.14"/>
        <filter val="17.47"/>
        <filter val="17.51"/>
        <filter val="17.63"/>
        <filter val="17.84"/>
        <filter val="18.07"/>
        <filter val="18.24"/>
        <filter val="18.28"/>
        <filter val="18.57"/>
        <filter val="18.62"/>
        <filter val="18.73"/>
        <filter val="18.9"/>
        <filter val="18.92"/>
        <filter val="19.23"/>
        <filter val="19.32"/>
        <filter val="19.41"/>
        <filter val="19.77"/>
        <filter val="19.8"/>
        <filter val="19.9"/>
        <filter val="19.99"/>
        <filter val="2.02"/>
        <filter val="2.06"/>
        <filter val="2.2"/>
        <filter val="2.26"/>
        <filter val="2.3"/>
        <filter val="2.37"/>
        <filter val="2.42"/>
        <filter val="2.52"/>
        <filter val="2.55"/>
        <filter val="2.61"/>
        <filter val="2.71"/>
        <filter val="2.97"/>
        <filter val="3.01"/>
        <filter val="3.74"/>
        <filter val="4.06"/>
        <filter val="4.14"/>
        <filter val="4.3"/>
        <filter val="4.39"/>
        <filter val="4.55"/>
        <filter val="4.74"/>
        <filter val="4.8"/>
        <filter val="4.82"/>
        <filter val="5.11"/>
        <filter val="5.15"/>
        <filter val="5.38"/>
        <filter val="5.54"/>
        <filter val="6.04"/>
        <filter val="6.09"/>
        <filter val="6.36"/>
        <filter val="6.39"/>
        <filter val="6.58"/>
        <filter val="6.68"/>
        <filter val="6.83"/>
        <filter val="6.93"/>
        <filter val="7.09"/>
        <filter val="7.17"/>
        <filter val="7.35"/>
        <filter val="7.45"/>
        <filter val="7.46"/>
        <filter val="7.6"/>
        <filter val="7.69"/>
        <filter val="7.77"/>
        <filter val="7.78"/>
        <filter val="7.9"/>
        <filter val="7.91"/>
        <filter val="8.22"/>
        <filter val="8.32"/>
        <filter val="8.38"/>
        <filter val="8.41"/>
        <filter val="8.79"/>
        <filter val="8.84"/>
        <filter val="8.95"/>
        <filter val="9.08"/>
        <filter val="9.25"/>
        <filter val="9.28"/>
        <filter val="9.29"/>
        <filter val="9.34"/>
        <filter val="9.36"/>
        <filter val="9.42"/>
        <filter val="9.52"/>
        <filter val="9.53"/>
        <filter val="9.56"/>
        <filter val="9.58"/>
        <filter val="9.61"/>
        <filter val="9.93"/>
      </filters>
    </filterColumn>
  </autoFilter>
  <tableColumns count="7">
    <tableColumn id="1" xr3:uid="{DD653494-D78C-4C24-83F4-C956AB5042D6}" name="OrderDate" dataDxfId="17"/>
    <tableColumn id="2" xr3:uid="{DBC82A90-A24F-4BD3-A033-0B68C28C1D80}" name="Region" dataDxfId="16"/>
    <tableColumn id="3" xr3:uid="{6976F94C-26FB-41E7-9178-F28F04F019B6}" name="Rep" dataDxfId="15"/>
    <tableColumn id="4" xr3:uid="{516AB5A2-2AA9-4DB2-ACF3-ED15BC6EED73}" name="Item" dataDxfId="14"/>
    <tableColumn id="5" xr3:uid="{EE617C04-024F-432F-B112-711DC438FC37}" name="Units"/>
    <tableColumn id="6" xr3:uid="{5BED7E9A-B825-4732-8018-7AEEA1BB1C59}" name="Unit Cost"/>
    <tableColumn id="7" xr3:uid="{43E0C1FE-6486-4B7C-BABF-55985CC553B0}" name="Revenu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4D535C-C821-4F74-9FA7-187BD95A125F}" name="Sheet15" displayName="Sheet15" ref="A1:I152" totalsRowShown="0">
  <autoFilter ref="A1:I152" xr:uid="{5C4D535C-C821-4F74-9FA7-187BD95A12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D123255-3BFF-4AC3-9283-47879D4383E4}" name="OrderDate" dataDxfId="13"/>
    <tableColumn id="2" xr3:uid="{53F919D9-F9AD-49B2-9382-E03D8F9B3866}" name="Region" dataDxfId="12"/>
    <tableColumn id="3" xr3:uid="{66F5C50E-5BE6-4FBF-8F2D-75BECBD3E94B}" name="Rep" dataDxfId="11"/>
    <tableColumn id="4" xr3:uid="{4D98E4D9-152B-48BB-9F5B-658F4965E898}" name="Item" dataDxfId="10"/>
    <tableColumn id="5" xr3:uid="{D5ADA9E1-3E45-47A1-9A49-676B912ADEB2}" name="Units"/>
    <tableColumn id="6" xr3:uid="{74E96123-EBBD-41C2-A2E1-A5EA4302296B}" name="Unit Cost"/>
    <tableColumn id="7" xr3:uid="{B44BBA82-B496-4279-AF68-B279C7CA3C67}" name="Revenue"/>
    <tableColumn id="8" xr3:uid="{ECC79306-2DBB-45EA-B4C4-2926A905ECF2}" name="sales " dataDxfId="9">
      <calculatedColumnFormula>COUNTIF($C$2:$C$152,C2)</calculatedColumnFormula>
    </tableColumn>
    <tableColumn id="11" xr3:uid="{3835162A-27AE-4ECC-8DAC-EEE682831AB1}" name="Sales&gt;15" dataDxfId="8">
      <calculatedColumnFormula>COUNTIF(C:C,C2)&gt;15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AE82AC-589C-4BDA-989B-76905B82C52C}" name="Sheet16" displayName="Sheet16" ref="A1:G152" totalsRowShown="0">
  <autoFilter ref="A1:G152" xr:uid="{68AE82AC-589C-4BDA-989B-76905B82C52C}"/>
  <tableColumns count="7">
    <tableColumn id="1" xr3:uid="{E05A4FF1-3497-4FFE-893C-47626B7D106D}" name="OrderDate" dataDxfId="6" totalsRowDxfId="7"/>
    <tableColumn id="2" xr3:uid="{CEA6773D-A8C6-4712-B31B-887A9B855E4A}" name="Region" dataDxfId="4" totalsRowDxfId="5"/>
    <tableColumn id="3" xr3:uid="{83569FF1-A721-4A42-B244-32222213E30F}" name="Rep" dataDxfId="2" totalsRowDxfId="3"/>
    <tableColumn id="4" xr3:uid="{FB71C0AA-42BD-4625-B196-AA1270CD2A8E}" name="Item" dataDxfId="0" totalsRowDxfId="1"/>
    <tableColumn id="5" xr3:uid="{D0B955A9-A3CA-43CB-BDEA-AF8BB562A233}" name="Units"/>
    <tableColumn id="6" xr3:uid="{8FF3C10E-5D12-4E71-A15F-9E63392F4CE7}" name="Unit Cost"/>
    <tableColumn id="7" xr3:uid="{27950258-022D-4C78-A759-C3E5ACEC63A9}" name="Reven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77F2-A655-4374-98EA-7003C39DC436}">
  <dimension ref="A1:G151"/>
  <sheetViews>
    <sheetView workbookViewId="0">
      <selection activeCell="A2" sqref="A2"/>
    </sheetView>
  </sheetViews>
  <sheetFormatPr defaultRowHeight="14.45"/>
  <cols>
    <col min="1" max="1" width="11.85546875" bestFit="1" customWidth="1"/>
    <col min="2" max="2" width="9" bestFit="1" customWidth="1"/>
    <col min="3" max="3" width="8" bestFit="1" customWidth="1"/>
    <col min="4" max="4" width="9.28515625" bestFit="1" customWidth="1"/>
    <col min="5" max="5" width="7.5703125" bestFit="1" customWidth="1"/>
    <col min="6" max="6" width="10.85546875" bestFit="1" customWidth="1"/>
    <col min="7" max="7" width="10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>
        <v>58</v>
      </c>
      <c r="F2">
        <v>7.17</v>
      </c>
      <c r="G2">
        <v>415.86</v>
      </c>
    </row>
    <row r="3" spans="1:7">
      <c r="A3" s="1" t="s">
        <v>11</v>
      </c>
      <c r="B3" s="1" t="s">
        <v>12</v>
      </c>
      <c r="C3" s="1" t="s">
        <v>13</v>
      </c>
      <c r="D3" s="1" t="s">
        <v>14</v>
      </c>
      <c r="E3">
        <v>184</v>
      </c>
      <c r="F3">
        <v>2.2999999999999998</v>
      </c>
      <c r="G3">
        <v>423.2</v>
      </c>
    </row>
    <row r="4" spans="1:7">
      <c r="A4" s="1" t="s">
        <v>15</v>
      </c>
      <c r="B4" s="1" t="s">
        <v>16</v>
      </c>
      <c r="C4" s="1" t="s">
        <v>17</v>
      </c>
      <c r="D4" s="1" t="s">
        <v>10</v>
      </c>
      <c r="E4">
        <v>104</v>
      </c>
      <c r="F4">
        <v>12.48</v>
      </c>
      <c r="G4">
        <v>1297.92</v>
      </c>
    </row>
    <row r="5" spans="1:7">
      <c r="A5" s="1" t="s">
        <v>18</v>
      </c>
      <c r="B5" s="1" t="s">
        <v>19</v>
      </c>
      <c r="C5" s="1" t="s">
        <v>17</v>
      </c>
      <c r="D5" s="1" t="s">
        <v>20</v>
      </c>
      <c r="E5">
        <v>171</v>
      </c>
      <c r="F5">
        <v>11.5</v>
      </c>
      <c r="G5">
        <v>1966.5</v>
      </c>
    </row>
    <row r="6" spans="1:7">
      <c r="A6" s="1" t="s">
        <v>21</v>
      </c>
      <c r="B6" s="1" t="s">
        <v>22</v>
      </c>
      <c r="C6" s="1" t="s">
        <v>23</v>
      </c>
      <c r="D6" s="1" t="s">
        <v>24</v>
      </c>
      <c r="E6">
        <v>168</v>
      </c>
      <c r="F6">
        <v>9.42</v>
      </c>
      <c r="G6">
        <v>1582.56</v>
      </c>
    </row>
    <row r="7" spans="1:7">
      <c r="A7" s="1" t="s">
        <v>25</v>
      </c>
      <c r="B7" s="1" t="s">
        <v>16</v>
      </c>
      <c r="C7" s="1" t="s">
        <v>26</v>
      </c>
      <c r="D7" s="1" t="s">
        <v>10</v>
      </c>
      <c r="E7">
        <v>64</v>
      </c>
      <c r="F7">
        <v>2.2599999999999998</v>
      </c>
      <c r="G7">
        <v>144.63999999999999</v>
      </c>
    </row>
    <row r="8" spans="1:7">
      <c r="A8" s="1" t="s">
        <v>27</v>
      </c>
      <c r="B8" s="1" t="s">
        <v>16</v>
      </c>
      <c r="C8" s="1" t="s">
        <v>9</v>
      </c>
      <c r="D8" s="1" t="s">
        <v>20</v>
      </c>
      <c r="E8">
        <v>72</v>
      </c>
      <c r="F8">
        <v>8.41</v>
      </c>
      <c r="G8">
        <v>605.52</v>
      </c>
    </row>
    <row r="9" spans="1:7">
      <c r="A9" s="1" t="s">
        <v>28</v>
      </c>
      <c r="B9" s="1" t="s">
        <v>22</v>
      </c>
      <c r="C9" s="1" t="s">
        <v>9</v>
      </c>
      <c r="D9" s="1" t="s">
        <v>14</v>
      </c>
      <c r="E9">
        <v>65</v>
      </c>
      <c r="F9">
        <v>4.55</v>
      </c>
      <c r="G9">
        <v>295.75</v>
      </c>
    </row>
    <row r="10" spans="1:7">
      <c r="A10" s="1" t="s">
        <v>29</v>
      </c>
      <c r="B10" s="1" t="s">
        <v>16</v>
      </c>
      <c r="C10" s="1" t="s">
        <v>9</v>
      </c>
      <c r="D10" s="1" t="s">
        <v>24</v>
      </c>
      <c r="E10">
        <v>162</v>
      </c>
      <c r="F10">
        <v>9.2799999999999994</v>
      </c>
      <c r="G10">
        <v>1503.36</v>
      </c>
    </row>
    <row r="11" spans="1:7">
      <c r="A11" s="1" t="s">
        <v>30</v>
      </c>
      <c r="B11" s="1" t="s">
        <v>19</v>
      </c>
      <c r="C11" s="1" t="s">
        <v>26</v>
      </c>
      <c r="D11" s="1" t="s">
        <v>10</v>
      </c>
      <c r="E11">
        <v>165</v>
      </c>
      <c r="F11">
        <v>2.2000000000000002</v>
      </c>
      <c r="G11">
        <v>363</v>
      </c>
    </row>
    <row r="12" spans="1:7">
      <c r="A12" s="1" t="s">
        <v>31</v>
      </c>
      <c r="B12" s="1" t="s">
        <v>8</v>
      </c>
      <c r="C12" s="1" t="s">
        <v>32</v>
      </c>
      <c r="D12" s="1" t="s">
        <v>33</v>
      </c>
      <c r="E12">
        <v>90</v>
      </c>
      <c r="F12">
        <v>16.920000000000002</v>
      </c>
      <c r="G12">
        <v>1522.8</v>
      </c>
    </row>
    <row r="13" spans="1:7">
      <c r="A13" s="1" t="s">
        <v>34</v>
      </c>
      <c r="B13" s="1" t="s">
        <v>19</v>
      </c>
      <c r="C13" s="1" t="s">
        <v>17</v>
      </c>
      <c r="D13" s="1" t="s">
        <v>35</v>
      </c>
      <c r="E13">
        <v>171</v>
      </c>
      <c r="F13">
        <v>8.7899999999999991</v>
      </c>
      <c r="G13">
        <v>1503.09</v>
      </c>
    </row>
    <row r="14" spans="1:7">
      <c r="A14" s="1" t="s">
        <v>36</v>
      </c>
      <c r="B14" s="1" t="s">
        <v>12</v>
      </c>
      <c r="C14" s="1" t="s">
        <v>26</v>
      </c>
      <c r="D14" s="1" t="s">
        <v>24</v>
      </c>
      <c r="E14">
        <v>107</v>
      </c>
      <c r="F14">
        <v>7.9</v>
      </c>
      <c r="G14">
        <v>845.3</v>
      </c>
    </row>
    <row r="15" spans="1:7">
      <c r="A15" s="1" t="s">
        <v>37</v>
      </c>
      <c r="B15" s="1" t="s">
        <v>22</v>
      </c>
      <c r="C15" s="1" t="s">
        <v>9</v>
      </c>
      <c r="D15" s="1" t="s">
        <v>38</v>
      </c>
      <c r="E15">
        <v>82</v>
      </c>
      <c r="F15">
        <v>10.95</v>
      </c>
      <c r="G15">
        <v>897.9</v>
      </c>
    </row>
    <row r="16" spans="1:7">
      <c r="A16" s="1" t="s">
        <v>39</v>
      </c>
      <c r="B16" s="1" t="s">
        <v>8</v>
      </c>
      <c r="C16" s="1" t="s">
        <v>40</v>
      </c>
      <c r="D16" s="1" t="s">
        <v>33</v>
      </c>
      <c r="E16">
        <v>19</v>
      </c>
      <c r="F16">
        <v>12.92</v>
      </c>
      <c r="G16">
        <v>245.48</v>
      </c>
    </row>
    <row r="17" spans="1:7">
      <c r="A17" s="1" t="s">
        <v>41</v>
      </c>
      <c r="B17" s="1" t="s">
        <v>19</v>
      </c>
      <c r="C17" s="1" t="s">
        <v>32</v>
      </c>
      <c r="D17" s="1" t="s">
        <v>14</v>
      </c>
      <c r="E17">
        <v>122</v>
      </c>
      <c r="F17">
        <v>7.91</v>
      </c>
      <c r="G17">
        <v>965.02</v>
      </c>
    </row>
    <row r="18" spans="1:7">
      <c r="A18" s="1" t="s">
        <v>42</v>
      </c>
      <c r="B18" s="1" t="s">
        <v>8</v>
      </c>
      <c r="C18" s="1" t="s">
        <v>17</v>
      </c>
      <c r="D18" s="1" t="s">
        <v>43</v>
      </c>
      <c r="E18">
        <v>50</v>
      </c>
      <c r="F18">
        <v>13.61</v>
      </c>
      <c r="G18">
        <v>680.5</v>
      </c>
    </row>
    <row r="19" spans="1:7">
      <c r="A19" s="1" t="s">
        <v>44</v>
      </c>
      <c r="B19" s="1" t="s">
        <v>19</v>
      </c>
      <c r="C19" s="1" t="s">
        <v>32</v>
      </c>
      <c r="D19" s="1" t="s">
        <v>24</v>
      </c>
      <c r="E19">
        <v>115</v>
      </c>
      <c r="F19">
        <v>9.61</v>
      </c>
      <c r="G19">
        <v>1105.1500000000001</v>
      </c>
    </row>
    <row r="20" spans="1:7">
      <c r="A20" s="1" t="s">
        <v>45</v>
      </c>
      <c r="B20" s="1" t="s">
        <v>22</v>
      </c>
      <c r="C20" s="1" t="s">
        <v>46</v>
      </c>
      <c r="D20" s="1" t="s">
        <v>47</v>
      </c>
      <c r="E20">
        <v>150</v>
      </c>
      <c r="F20">
        <v>19.8</v>
      </c>
      <c r="G20">
        <v>2970</v>
      </c>
    </row>
    <row r="21" spans="1:7">
      <c r="A21" s="1" t="s">
        <v>48</v>
      </c>
      <c r="B21" s="1" t="s">
        <v>16</v>
      </c>
      <c r="C21" s="1" t="s">
        <v>13</v>
      </c>
      <c r="D21" s="1" t="s">
        <v>24</v>
      </c>
      <c r="E21">
        <v>72</v>
      </c>
      <c r="F21">
        <v>5.1100000000000003</v>
      </c>
      <c r="G21">
        <v>367.92</v>
      </c>
    </row>
    <row r="22" spans="1:7">
      <c r="A22" s="1" t="s">
        <v>49</v>
      </c>
      <c r="B22" s="1" t="s">
        <v>19</v>
      </c>
      <c r="C22" s="1" t="s">
        <v>23</v>
      </c>
      <c r="D22" s="1" t="s">
        <v>43</v>
      </c>
      <c r="E22">
        <v>157</v>
      </c>
      <c r="F22">
        <v>11.72</v>
      </c>
      <c r="G22">
        <v>1840.04</v>
      </c>
    </row>
    <row r="23" spans="1:7">
      <c r="A23" s="1" t="s">
        <v>50</v>
      </c>
      <c r="B23" s="1" t="s">
        <v>16</v>
      </c>
      <c r="C23" s="1" t="s">
        <v>13</v>
      </c>
      <c r="D23" s="1" t="s">
        <v>38</v>
      </c>
      <c r="E23">
        <v>141</v>
      </c>
      <c r="F23">
        <v>19.77</v>
      </c>
      <c r="G23">
        <v>2787.57</v>
      </c>
    </row>
    <row r="24" spans="1:7">
      <c r="A24" s="1" t="s">
        <v>51</v>
      </c>
      <c r="B24" s="1" t="s">
        <v>16</v>
      </c>
      <c r="C24" s="1" t="s">
        <v>52</v>
      </c>
      <c r="D24" s="1" t="s">
        <v>38</v>
      </c>
      <c r="E24">
        <v>71</v>
      </c>
      <c r="F24">
        <v>1.74</v>
      </c>
      <c r="G24">
        <v>123.54</v>
      </c>
    </row>
    <row r="25" spans="1:7">
      <c r="A25" s="1" t="s">
        <v>53</v>
      </c>
      <c r="B25" s="1" t="s">
        <v>12</v>
      </c>
      <c r="C25" s="1" t="s">
        <v>52</v>
      </c>
      <c r="D25" s="1" t="s">
        <v>38</v>
      </c>
      <c r="E25">
        <v>18</v>
      </c>
      <c r="F25">
        <v>4.3</v>
      </c>
      <c r="G25">
        <v>77.400000000000006</v>
      </c>
    </row>
    <row r="26" spans="1:7">
      <c r="A26" s="1" t="s">
        <v>54</v>
      </c>
      <c r="B26" s="1" t="s">
        <v>12</v>
      </c>
      <c r="C26" s="1" t="s">
        <v>17</v>
      </c>
      <c r="D26" s="1" t="s">
        <v>10</v>
      </c>
      <c r="E26">
        <v>198</v>
      </c>
      <c r="F26">
        <v>11.41</v>
      </c>
      <c r="G26">
        <v>2259.1799999999998</v>
      </c>
    </row>
    <row r="27" spans="1:7">
      <c r="A27" s="1" t="s">
        <v>55</v>
      </c>
      <c r="B27" s="1" t="s">
        <v>19</v>
      </c>
      <c r="C27" s="1" t="s">
        <v>32</v>
      </c>
      <c r="D27" s="1" t="s">
        <v>20</v>
      </c>
      <c r="E27">
        <v>16</v>
      </c>
      <c r="F27">
        <v>12.2</v>
      </c>
      <c r="G27">
        <v>195.2</v>
      </c>
    </row>
    <row r="28" spans="1:7">
      <c r="A28" s="1" t="s">
        <v>37</v>
      </c>
      <c r="B28" s="1" t="s">
        <v>16</v>
      </c>
      <c r="C28" s="1" t="s">
        <v>26</v>
      </c>
      <c r="D28" s="1" t="s">
        <v>33</v>
      </c>
      <c r="E28">
        <v>23</v>
      </c>
      <c r="F28">
        <v>2.02</v>
      </c>
      <c r="G28">
        <v>46.46</v>
      </c>
    </row>
    <row r="29" spans="1:7">
      <c r="A29" s="1" t="s">
        <v>56</v>
      </c>
      <c r="B29" s="1" t="s">
        <v>16</v>
      </c>
      <c r="C29" s="1" t="s">
        <v>46</v>
      </c>
      <c r="D29" s="1" t="s">
        <v>33</v>
      </c>
      <c r="E29">
        <v>89</v>
      </c>
      <c r="F29">
        <v>19.899999999999999</v>
      </c>
      <c r="G29">
        <v>1771.1</v>
      </c>
    </row>
    <row r="30" spans="1:7">
      <c r="A30" s="1" t="s">
        <v>57</v>
      </c>
      <c r="B30" s="1" t="s">
        <v>8</v>
      </c>
      <c r="C30" s="1" t="s">
        <v>26</v>
      </c>
      <c r="D30" s="1" t="s">
        <v>43</v>
      </c>
      <c r="E30">
        <v>188</v>
      </c>
      <c r="F30">
        <v>7.6</v>
      </c>
      <c r="G30">
        <v>1428.8</v>
      </c>
    </row>
    <row r="31" spans="1:7">
      <c r="A31" s="1" t="s">
        <v>58</v>
      </c>
      <c r="B31" s="1" t="s">
        <v>19</v>
      </c>
      <c r="C31" s="1" t="s">
        <v>26</v>
      </c>
      <c r="D31" s="1" t="s">
        <v>38</v>
      </c>
      <c r="E31">
        <v>193</v>
      </c>
      <c r="F31">
        <v>16.36</v>
      </c>
      <c r="G31">
        <v>3157.48</v>
      </c>
    </row>
    <row r="32" spans="1:7">
      <c r="A32" s="1" t="s">
        <v>59</v>
      </c>
      <c r="B32" s="1" t="s">
        <v>16</v>
      </c>
      <c r="C32" s="1" t="s">
        <v>60</v>
      </c>
      <c r="D32" s="1" t="s">
        <v>10</v>
      </c>
      <c r="E32">
        <v>44</v>
      </c>
      <c r="F32">
        <v>16.57</v>
      </c>
      <c r="G32">
        <v>729.08</v>
      </c>
    </row>
    <row r="33" spans="1:7">
      <c r="A33" s="1" t="s">
        <v>15</v>
      </c>
      <c r="B33" s="1" t="s">
        <v>8</v>
      </c>
      <c r="C33" s="1" t="s">
        <v>52</v>
      </c>
      <c r="D33" s="1" t="s">
        <v>47</v>
      </c>
      <c r="E33">
        <v>10</v>
      </c>
      <c r="F33">
        <v>13.39</v>
      </c>
      <c r="G33">
        <v>133.9</v>
      </c>
    </row>
    <row r="34" spans="1:7">
      <c r="A34" s="1" t="s">
        <v>61</v>
      </c>
      <c r="B34" s="1" t="s">
        <v>12</v>
      </c>
      <c r="C34" s="1" t="s">
        <v>46</v>
      </c>
      <c r="D34" s="1" t="s">
        <v>47</v>
      </c>
      <c r="E34">
        <v>67</v>
      </c>
      <c r="F34">
        <v>9.56</v>
      </c>
      <c r="G34">
        <v>640.52</v>
      </c>
    </row>
    <row r="35" spans="1:7">
      <c r="A35" s="1" t="s">
        <v>62</v>
      </c>
      <c r="B35" s="1" t="s">
        <v>8</v>
      </c>
      <c r="C35" s="1" t="s">
        <v>17</v>
      </c>
      <c r="D35" s="1" t="s">
        <v>24</v>
      </c>
      <c r="E35">
        <v>196</v>
      </c>
      <c r="F35">
        <v>15.16</v>
      </c>
      <c r="G35">
        <v>2971.36</v>
      </c>
    </row>
    <row r="36" spans="1:7">
      <c r="A36" s="1" t="s">
        <v>63</v>
      </c>
      <c r="B36" s="1" t="s">
        <v>19</v>
      </c>
      <c r="C36" s="1" t="s">
        <v>60</v>
      </c>
      <c r="D36" s="1" t="s">
        <v>47</v>
      </c>
      <c r="E36">
        <v>95</v>
      </c>
      <c r="F36">
        <v>4.82</v>
      </c>
      <c r="G36">
        <v>457.9</v>
      </c>
    </row>
    <row r="37" spans="1:7">
      <c r="A37" s="1" t="s">
        <v>55</v>
      </c>
      <c r="B37" s="1" t="s">
        <v>22</v>
      </c>
      <c r="C37" s="1" t="s">
        <v>9</v>
      </c>
      <c r="D37" s="1" t="s">
        <v>38</v>
      </c>
      <c r="E37">
        <v>96</v>
      </c>
      <c r="F37">
        <v>5.38</v>
      </c>
      <c r="G37">
        <v>516.48</v>
      </c>
    </row>
    <row r="38" spans="1:7">
      <c r="A38" s="1" t="s">
        <v>64</v>
      </c>
      <c r="B38" s="1" t="s">
        <v>16</v>
      </c>
      <c r="C38" s="1" t="s">
        <v>40</v>
      </c>
      <c r="D38" s="1" t="s">
        <v>10</v>
      </c>
      <c r="E38">
        <v>199</v>
      </c>
      <c r="F38">
        <v>6.83</v>
      </c>
      <c r="G38">
        <v>1359.17</v>
      </c>
    </row>
    <row r="39" spans="1:7">
      <c r="A39" s="1" t="s">
        <v>65</v>
      </c>
      <c r="B39" s="1" t="s">
        <v>22</v>
      </c>
      <c r="C39" s="1" t="s">
        <v>23</v>
      </c>
      <c r="D39" s="1" t="s">
        <v>47</v>
      </c>
      <c r="E39">
        <v>135</v>
      </c>
      <c r="F39">
        <v>16.309999999999999</v>
      </c>
      <c r="G39">
        <v>2201.85</v>
      </c>
    </row>
    <row r="40" spans="1:7">
      <c r="A40" s="1" t="s">
        <v>66</v>
      </c>
      <c r="B40" s="1" t="s">
        <v>16</v>
      </c>
      <c r="C40" s="1" t="s">
        <v>46</v>
      </c>
      <c r="D40" s="1" t="s">
        <v>20</v>
      </c>
      <c r="E40">
        <v>126</v>
      </c>
      <c r="F40">
        <v>15.72</v>
      </c>
      <c r="G40">
        <v>1980.72</v>
      </c>
    </row>
    <row r="41" spans="1:7">
      <c r="A41" s="1" t="s">
        <v>41</v>
      </c>
      <c r="B41" s="1" t="s">
        <v>16</v>
      </c>
      <c r="C41" s="1" t="s">
        <v>26</v>
      </c>
      <c r="D41" s="1" t="s">
        <v>10</v>
      </c>
      <c r="E41">
        <v>175</v>
      </c>
      <c r="F41">
        <v>13.61</v>
      </c>
      <c r="G41">
        <v>2381.75</v>
      </c>
    </row>
    <row r="42" spans="1:7">
      <c r="A42" s="1" t="s">
        <v>67</v>
      </c>
      <c r="B42" s="1" t="s">
        <v>16</v>
      </c>
      <c r="C42" s="1" t="s">
        <v>40</v>
      </c>
      <c r="D42" s="1" t="s">
        <v>38</v>
      </c>
      <c r="E42">
        <v>137</v>
      </c>
      <c r="F42">
        <v>14.06</v>
      </c>
      <c r="G42">
        <v>1926.22</v>
      </c>
    </row>
    <row r="43" spans="1:7">
      <c r="A43" s="1" t="s">
        <v>68</v>
      </c>
      <c r="B43" s="1" t="s">
        <v>12</v>
      </c>
      <c r="C43" s="1" t="s">
        <v>46</v>
      </c>
      <c r="D43" s="1" t="s">
        <v>43</v>
      </c>
      <c r="E43">
        <v>190</v>
      </c>
      <c r="F43">
        <v>10.53</v>
      </c>
      <c r="G43">
        <v>2000.7</v>
      </c>
    </row>
    <row r="44" spans="1:7">
      <c r="A44" s="1" t="s">
        <v>69</v>
      </c>
      <c r="B44" s="1" t="s">
        <v>19</v>
      </c>
      <c r="C44" s="1" t="s">
        <v>17</v>
      </c>
      <c r="D44" s="1" t="s">
        <v>47</v>
      </c>
      <c r="E44">
        <v>131</v>
      </c>
      <c r="F44">
        <v>17.510000000000002</v>
      </c>
      <c r="G44">
        <v>2293.81</v>
      </c>
    </row>
    <row r="45" spans="1:7">
      <c r="A45" s="1" t="s">
        <v>34</v>
      </c>
      <c r="B45" s="1" t="s">
        <v>16</v>
      </c>
      <c r="C45" s="1" t="s">
        <v>32</v>
      </c>
      <c r="D45" s="1" t="s">
        <v>24</v>
      </c>
      <c r="E45">
        <v>92</v>
      </c>
      <c r="F45">
        <v>9.52</v>
      </c>
      <c r="G45">
        <v>875.84</v>
      </c>
    </row>
    <row r="46" spans="1:7">
      <c r="A46" s="1" t="s">
        <v>70</v>
      </c>
      <c r="B46" s="1" t="s">
        <v>8</v>
      </c>
      <c r="C46" s="1" t="s">
        <v>13</v>
      </c>
      <c r="D46" s="1" t="s">
        <v>38</v>
      </c>
      <c r="E46">
        <v>99</v>
      </c>
      <c r="F46">
        <v>9.5299999999999994</v>
      </c>
      <c r="G46">
        <v>943.47</v>
      </c>
    </row>
    <row r="47" spans="1:7">
      <c r="A47" s="1" t="s">
        <v>71</v>
      </c>
      <c r="B47" s="1" t="s">
        <v>16</v>
      </c>
      <c r="C47" s="1" t="s">
        <v>60</v>
      </c>
      <c r="D47" s="1" t="s">
        <v>33</v>
      </c>
      <c r="E47">
        <v>26</v>
      </c>
      <c r="F47">
        <v>17.14</v>
      </c>
      <c r="G47">
        <v>445.64</v>
      </c>
    </row>
    <row r="48" spans="1:7">
      <c r="A48" s="1" t="s">
        <v>72</v>
      </c>
      <c r="B48" s="1" t="s">
        <v>22</v>
      </c>
      <c r="C48" s="1" t="s">
        <v>13</v>
      </c>
      <c r="D48" s="1" t="s">
        <v>35</v>
      </c>
      <c r="E48">
        <v>174</v>
      </c>
      <c r="F48">
        <v>15.85</v>
      </c>
      <c r="G48">
        <v>2757.9</v>
      </c>
    </row>
    <row r="49" spans="1:7">
      <c r="A49" s="1" t="s">
        <v>73</v>
      </c>
      <c r="B49" s="1" t="s">
        <v>12</v>
      </c>
      <c r="C49" s="1" t="s">
        <v>60</v>
      </c>
      <c r="D49" s="1" t="s">
        <v>33</v>
      </c>
      <c r="E49">
        <v>188</v>
      </c>
      <c r="F49">
        <v>4.0599999999999996</v>
      </c>
      <c r="G49">
        <v>763.28</v>
      </c>
    </row>
    <row r="50" spans="1:7">
      <c r="A50" s="1" t="s">
        <v>74</v>
      </c>
      <c r="B50" s="1" t="s">
        <v>19</v>
      </c>
      <c r="C50" s="1" t="s">
        <v>23</v>
      </c>
      <c r="D50" s="1" t="s">
        <v>35</v>
      </c>
      <c r="E50">
        <v>94</v>
      </c>
      <c r="F50">
        <v>4.74</v>
      </c>
      <c r="G50">
        <v>445.56</v>
      </c>
    </row>
    <row r="51" spans="1:7">
      <c r="A51" s="1" t="s">
        <v>75</v>
      </c>
      <c r="B51" s="1" t="s">
        <v>19</v>
      </c>
      <c r="C51" s="1" t="s">
        <v>9</v>
      </c>
      <c r="D51" s="1" t="s">
        <v>38</v>
      </c>
      <c r="E51">
        <v>13</v>
      </c>
      <c r="F51">
        <v>17.84</v>
      </c>
      <c r="G51">
        <v>231.92</v>
      </c>
    </row>
    <row r="52" spans="1:7">
      <c r="A52" s="1" t="s">
        <v>76</v>
      </c>
      <c r="B52" s="1" t="s">
        <v>16</v>
      </c>
      <c r="C52" s="1" t="s">
        <v>23</v>
      </c>
      <c r="D52" s="1" t="s">
        <v>77</v>
      </c>
      <c r="E52">
        <v>102</v>
      </c>
      <c r="F52">
        <v>3.01</v>
      </c>
      <c r="G52">
        <v>307.02</v>
      </c>
    </row>
    <row r="53" spans="1:7">
      <c r="A53" s="1" t="s">
        <v>78</v>
      </c>
      <c r="B53" s="1" t="s">
        <v>8</v>
      </c>
      <c r="C53" s="1" t="s">
        <v>13</v>
      </c>
      <c r="D53" s="1" t="s">
        <v>35</v>
      </c>
      <c r="E53">
        <v>80</v>
      </c>
      <c r="F53">
        <v>4.8</v>
      </c>
      <c r="G53">
        <v>384</v>
      </c>
    </row>
    <row r="54" spans="1:7">
      <c r="A54" s="1" t="s">
        <v>79</v>
      </c>
      <c r="B54" s="1" t="s">
        <v>16</v>
      </c>
      <c r="C54" s="1" t="s">
        <v>52</v>
      </c>
      <c r="D54" s="1" t="s">
        <v>20</v>
      </c>
      <c r="E54">
        <v>47</v>
      </c>
      <c r="F54">
        <v>5.15</v>
      </c>
      <c r="G54">
        <v>242.05</v>
      </c>
    </row>
    <row r="55" spans="1:7">
      <c r="A55" s="1" t="s">
        <v>80</v>
      </c>
      <c r="B55" s="1" t="s">
        <v>8</v>
      </c>
      <c r="C55" s="1" t="s">
        <v>46</v>
      </c>
      <c r="D55" s="1" t="s">
        <v>24</v>
      </c>
      <c r="E55">
        <v>144</v>
      </c>
      <c r="F55">
        <v>2.52</v>
      </c>
      <c r="G55">
        <v>362.88</v>
      </c>
    </row>
    <row r="56" spans="1:7">
      <c r="A56" s="1" t="s">
        <v>54</v>
      </c>
      <c r="B56" s="1" t="s">
        <v>8</v>
      </c>
      <c r="C56" s="1" t="s">
        <v>32</v>
      </c>
      <c r="D56" s="1" t="s">
        <v>10</v>
      </c>
      <c r="E56">
        <v>200</v>
      </c>
      <c r="F56">
        <v>8.3800000000000008</v>
      </c>
      <c r="G56">
        <v>1676</v>
      </c>
    </row>
    <row r="57" spans="1:7">
      <c r="A57" s="1" t="s">
        <v>81</v>
      </c>
      <c r="B57" s="1" t="s">
        <v>12</v>
      </c>
      <c r="C57" s="1" t="s">
        <v>46</v>
      </c>
      <c r="D57" s="1" t="s">
        <v>77</v>
      </c>
      <c r="E57">
        <v>73</v>
      </c>
      <c r="F57">
        <v>9.25</v>
      </c>
      <c r="G57">
        <v>675.25</v>
      </c>
    </row>
    <row r="58" spans="1:7">
      <c r="A58" s="1" t="s">
        <v>56</v>
      </c>
      <c r="B58" s="1" t="s">
        <v>12</v>
      </c>
      <c r="C58" s="1" t="s">
        <v>17</v>
      </c>
      <c r="D58" s="1" t="s">
        <v>77</v>
      </c>
      <c r="E58">
        <v>48</v>
      </c>
      <c r="F58">
        <v>11.4</v>
      </c>
      <c r="G58">
        <v>547.20000000000005</v>
      </c>
    </row>
    <row r="59" spans="1:7">
      <c r="A59" s="1" t="s">
        <v>82</v>
      </c>
      <c r="B59" s="1" t="s">
        <v>8</v>
      </c>
      <c r="C59" s="1" t="s">
        <v>26</v>
      </c>
      <c r="D59" s="1" t="s">
        <v>20</v>
      </c>
      <c r="E59">
        <v>116</v>
      </c>
      <c r="F59">
        <v>17.47</v>
      </c>
      <c r="G59">
        <v>2026.52</v>
      </c>
    </row>
    <row r="60" spans="1:7">
      <c r="A60" s="1" t="s">
        <v>83</v>
      </c>
      <c r="B60" s="1" t="s">
        <v>19</v>
      </c>
      <c r="C60" s="1" t="s">
        <v>26</v>
      </c>
      <c r="D60" s="1" t="s">
        <v>24</v>
      </c>
      <c r="E60">
        <v>59</v>
      </c>
      <c r="F60">
        <v>12.42</v>
      </c>
      <c r="G60">
        <v>732.78</v>
      </c>
    </row>
    <row r="61" spans="1:7">
      <c r="A61" s="1" t="s">
        <v>84</v>
      </c>
      <c r="B61" s="1" t="s">
        <v>12</v>
      </c>
      <c r="C61" s="1" t="s">
        <v>9</v>
      </c>
      <c r="D61" s="1" t="s">
        <v>20</v>
      </c>
      <c r="E61">
        <v>192</v>
      </c>
      <c r="F61">
        <v>9.56</v>
      </c>
      <c r="G61">
        <v>1835.52</v>
      </c>
    </row>
    <row r="62" spans="1:7">
      <c r="A62" s="1" t="s">
        <v>85</v>
      </c>
      <c r="B62" s="1" t="s">
        <v>22</v>
      </c>
      <c r="C62" s="1" t="s">
        <v>60</v>
      </c>
      <c r="D62" s="1" t="s">
        <v>33</v>
      </c>
      <c r="E62">
        <v>55</v>
      </c>
      <c r="F62">
        <v>18.73</v>
      </c>
      <c r="G62">
        <v>1030.1500000000001</v>
      </c>
    </row>
    <row r="63" spans="1:7">
      <c r="A63" s="1" t="s">
        <v>86</v>
      </c>
      <c r="B63" s="1" t="s">
        <v>12</v>
      </c>
      <c r="C63" s="1" t="s">
        <v>23</v>
      </c>
      <c r="D63" s="1" t="s">
        <v>38</v>
      </c>
      <c r="E63">
        <v>40</v>
      </c>
      <c r="F63">
        <v>5.54</v>
      </c>
      <c r="G63">
        <v>221.6</v>
      </c>
    </row>
    <row r="64" spans="1:7">
      <c r="A64" s="1" t="s">
        <v>87</v>
      </c>
      <c r="B64" s="1" t="s">
        <v>19</v>
      </c>
      <c r="C64" s="1" t="s">
        <v>32</v>
      </c>
      <c r="D64" s="1" t="s">
        <v>43</v>
      </c>
      <c r="E64">
        <v>192</v>
      </c>
      <c r="F64">
        <v>8.32</v>
      </c>
      <c r="G64">
        <v>1597.44</v>
      </c>
    </row>
    <row r="65" spans="1:7">
      <c r="A65" s="1" t="s">
        <v>88</v>
      </c>
      <c r="B65" s="1" t="s">
        <v>16</v>
      </c>
      <c r="C65" s="1" t="s">
        <v>23</v>
      </c>
      <c r="D65" s="1" t="s">
        <v>38</v>
      </c>
      <c r="E65">
        <v>114</v>
      </c>
      <c r="F65">
        <v>11.79</v>
      </c>
      <c r="G65">
        <v>1344.06</v>
      </c>
    </row>
    <row r="66" spans="1:7">
      <c r="A66" s="1" t="s">
        <v>89</v>
      </c>
      <c r="B66" s="1" t="s">
        <v>22</v>
      </c>
      <c r="C66" s="1" t="s">
        <v>60</v>
      </c>
      <c r="D66" s="1" t="s">
        <v>24</v>
      </c>
      <c r="E66">
        <v>139</v>
      </c>
      <c r="F66">
        <v>7.09</v>
      </c>
      <c r="G66">
        <v>985.51</v>
      </c>
    </row>
    <row r="67" spans="1:7">
      <c r="A67" s="1" t="s">
        <v>11</v>
      </c>
      <c r="B67" s="1" t="s">
        <v>22</v>
      </c>
      <c r="C67" s="1" t="s">
        <v>52</v>
      </c>
      <c r="D67" s="1" t="s">
        <v>10</v>
      </c>
      <c r="E67">
        <v>30</v>
      </c>
      <c r="F67">
        <v>2.2599999999999998</v>
      </c>
      <c r="G67">
        <v>67.8</v>
      </c>
    </row>
    <row r="68" spans="1:7">
      <c r="A68" s="1" t="s">
        <v>90</v>
      </c>
      <c r="B68" s="1" t="s">
        <v>8</v>
      </c>
      <c r="C68" s="1" t="s">
        <v>26</v>
      </c>
      <c r="D68" s="1" t="s">
        <v>24</v>
      </c>
      <c r="E68">
        <v>132</v>
      </c>
      <c r="F68">
        <v>10.55</v>
      </c>
      <c r="G68">
        <v>1392.6</v>
      </c>
    </row>
    <row r="69" spans="1:7">
      <c r="A69" s="1" t="s">
        <v>91</v>
      </c>
      <c r="B69" s="1" t="s">
        <v>16</v>
      </c>
      <c r="C69" s="1" t="s">
        <v>26</v>
      </c>
      <c r="D69" s="1" t="s">
        <v>35</v>
      </c>
      <c r="E69">
        <v>189</v>
      </c>
      <c r="F69">
        <v>11.88</v>
      </c>
      <c r="G69">
        <v>2245.3200000000002</v>
      </c>
    </row>
    <row r="70" spans="1:7">
      <c r="A70" s="1" t="s">
        <v>92</v>
      </c>
      <c r="B70" s="1" t="s">
        <v>8</v>
      </c>
      <c r="C70" s="1" t="s">
        <v>9</v>
      </c>
      <c r="D70" s="1" t="s">
        <v>47</v>
      </c>
      <c r="E70">
        <v>199</v>
      </c>
      <c r="F70">
        <v>7.77</v>
      </c>
      <c r="G70">
        <v>1546.23</v>
      </c>
    </row>
    <row r="71" spans="1:7">
      <c r="A71" s="1" t="s">
        <v>50</v>
      </c>
      <c r="B71" s="1" t="s">
        <v>22</v>
      </c>
      <c r="C71" s="1" t="s">
        <v>32</v>
      </c>
      <c r="D71" s="1" t="s">
        <v>14</v>
      </c>
      <c r="E71">
        <v>36</v>
      </c>
      <c r="F71">
        <v>6.09</v>
      </c>
      <c r="G71">
        <v>219.24</v>
      </c>
    </row>
    <row r="72" spans="1:7">
      <c r="A72" s="1" t="s">
        <v>93</v>
      </c>
      <c r="B72" s="1" t="s">
        <v>22</v>
      </c>
      <c r="C72" s="1" t="s">
        <v>40</v>
      </c>
      <c r="D72" s="1" t="s">
        <v>77</v>
      </c>
      <c r="E72">
        <v>179</v>
      </c>
      <c r="F72">
        <v>6.04</v>
      </c>
      <c r="G72">
        <v>1081.1600000000001</v>
      </c>
    </row>
    <row r="73" spans="1:7">
      <c r="A73" s="1" t="s">
        <v>94</v>
      </c>
      <c r="B73" s="1" t="s">
        <v>22</v>
      </c>
      <c r="C73" s="1" t="s">
        <v>9</v>
      </c>
      <c r="D73" s="1" t="s">
        <v>33</v>
      </c>
      <c r="E73">
        <v>51</v>
      </c>
      <c r="F73">
        <v>18.239999999999998</v>
      </c>
      <c r="G73">
        <v>930.24</v>
      </c>
    </row>
    <row r="74" spans="1:7">
      <c r="A74" s="1" t="s">
        <v>95</v>
      </c>
      <c r="B74" s="1" t="s">
        <v>22</v>
      </c>
      <c r="C74" s="1" t="s">
        <v>23</v>
      </c>
      <c r="D74" s="1" t="s">
        <v>77</v>
      </c>
      <c r="E74">
        <v>164</v>
      </c>
      <c r="F74">
        <v>16.13</v>
      </c>
      <c r="G74">
        <v>2645.32</v>
      </c>
    </row>
    <row r="75" spans="1:7">
      <c r="A75" s="1" t="s">
        <v>96</v>
      </c>
      <c r="B75" s="1" t="s">
        <v>12</v>
      </c>
      <c r="C75" s="1" t="s">
        <v>9</v>
      </c>
      <c r="D75" s="1" t="s">
        <v>47</v>
      </c>
      <c r="E75">
        <v>77</v>
      </c>
      <c r="F75">
        <v>10.66</v>
      </c>
      <c r="G75">
        <v>820.82</v>
      </c>
    </row>
    <row r="76" spans="1:7">
      <c r="A76" s="1" t="s">
        <v>97</v>
      </c>
      <c r="B76" s="1" t="s">
        <v>22</v>
      </c>
      <c r="C76" s="1" t="s">
        <v>52</v>
      </c>
      <c r="D76" s="1" t="s">
        <v>35</v>
      </c>
      <c r="E76">
        <v>96</v>
      </c>
      <c r="F76">
        <v>17.63</v>
      </c>
      <c r="G76">
        <v>1692.48</v>
      </c>
    </row>
    <row r="77" spans="1:7">
      <c r="A77" s="1" t="s">
        <v>98</v>
      </c>
      <c r="B77" s="1" t="s">
        <v>16</v>
      </c>
      <c r="C77" s="1" t="s">
        <v>46</v>
      </c>
      <c r="D77" s="1" t="s">
        <v>24</v>
      </c>
      <c r="E77">
        <v>96</v>
      </c>
      <c r="F77">
        <v>11.13</v>
      </c>
      <c r="G77">
        <v>1068.48</v>
      </c>
    </row>
    <row r="78" spans="1:7">
      <c r="A78" s="1" t="s">
        <v>99</v>
      </c>
      <c r="B78" s="1" t="s">
        <v>12</v>
      </c>
      <c r="C78" s="1" t="s">
        <v>32</v>
      </c>
      <c r="D78" s="1" t="s">
        <v>14</v>
      </c>
      <c r="E78">
        <v>103</v>
      </c>
      <c r="F78">
        <v>1.63</v>
      </c>
      <c r="G78">
        <v>167.89</v>
      </c>
    </row>
    <row r="79" spans="1:7">
      <c r="A79" s="1" t="s">
        <v>100</v>
      </c>
      <c r="B79" s="1" t="s">
        <v>8</v>
      </c>
      <c r="C79" s="1" t="s">
        <v>52</v>
      </c>
      <c r="D79" s="1" t="s">
        <v>20</v>
      </c>
      <c r="E79">
        <v>124</v>
      </c>
      <c r="F79">
        <v>8.2200000000000006</v>
      </c>
      <c r="G79">
        <v>1019.28</v>
      </c>
    </row>
    <row r="80" spans="1:7">
      <c r="A80" s="1" t="s">
        <v>101</v>
      </c>
      <c r="B80" s="1" t="s">
        <v>16</v>
      </c>
      <c r="C80" s="1" t="s">
        <v>26</v>
      </c>
      <c r="D80" s="1" t="s">
        <v>43</v>
      </c>
      <c r="E80">
        <v>124</v>
      </c>
      <c r="F80">
        <v>9.2899999999999991</v>
      </c>
      <c r="G80">
        <v>1151.96</v>
      </c>
    </row>
    <row r="81" spans="1:7">
      <c r="A81" s="1" t="s">
        <v>102</v>
      </c>
      <c r="B81" s="1" t="s">
        <v>12</v>
      </c>
      <c r="C81" s="1" t="s">
        <v>60</v>
      </c>
      <c r="D81" s="1" t="s">
        <v>35</v>
      </c>
      <c r="E81">
        <v>140</v>
      </c>
      <c r="F81">
        <v>15</v>
      </c>
      <c r="G81">
        <v>2100</v>
      </c>
    </row>
    <row r="82" spans="1:7">
      <c r="A82" s="1" t="s">
        <v>103</v>
      </c>
      <c r="B82" s="1" t="s">
        <v>19</v>
      </c>
      <c r="C82" s="1" t="s">
        <v>26</v>
      </c>
      <c r="D82" s="1" t="s">
        <v>77</v>
      </c>
      <c r="E82">
        <v>135</v>
      </c>
      <c r="F82">
        <v>6.93</v>
      </c>
      <c r="G82">
        <v>935.55</v>
      </c>
    </row>
    <row r="83" spans="1:7">
      <c r="A83" s="1" t="s">
        <v>96</v>
      </c>
      <c r="B83" s="1" t="s">
        <v>16</v>
      </c>
      <c r="C83" s="1" t="s">
        <v>26</v>
      </c>
      <c r="D83" s="1" t="s">
        <v>14</v>
      </c>
      <c r="E83">
        <v>180</v>
      </c>
      <c r="F83">
        <v>12.5</v>
      </c>
      <c r="G83">
        <v>2250</v>
      </c>
    </row>
    <row r="84" spans="1:7">
      <c r="A84" s="1" t="s">
        <v>104</v>
      </c>
      <c r="B84" s="1" t="s">
        <v>8</v>
      </c>
      <c r="C84" s="1" t="s">
        <v>60</v>
      </c>
      <c r="D84" s="1" t="s">
        <v>43</v>
      </c>
      <c r="E84">
        <v>54</v>
      </c>
      <c r="F84">
        <v>1.45</v>
      </c>
      <c r="G84">
        <v>78.3</v>
      </c>
    </row>
    <row r="85" spans="1:7">
      <c r="A85" s="1" t="s">
        <v>105</v>
      </c>
      <c r="B85" s="1" t="s">
        <v>12</v>
      </c>
      <c r="C85" s="1" t="s">
        <v>26</v>
      </c>
      <c r="D85" s="1" t="s">
        <v>24</v>
      </c>
      <c r="E85">
        <v>100</v>
      </c>
      <c r="F85">
        <v>2.42</v>
      </c>
      <c r="G85">
        <v>242</v>
      </c>
    </row>
    <row r="86" spans="1:7">
      <c r="A86" s="1" t="s">
        <v>106</v>
      </c>
      <c r="B86" s="1" t="s">
        <v>12</v>
      </c>
      <c r="C86" s="1" t="s">
        <v>17</v>
      </c>
      <c r="D86" s="1" t="s">
        <v>24</v>
      </c>
      <c r="E86">
        <v>117</v>
      </c>
      <c r="F86">
        <v>7.69</v>
      </c>
      <c r="G86">
        <v>899.73</v>
      </c>
    </row>
    <row r="87" spans="1:7">
      <c r="A87" s="1" t="s">
        <v>107</v>
      </c>
      <c r="B87" s="1" t="s">
        <v>8</v>
      </c>
      <c r="C87" s="1" t="s">
        <v>26</v>
      </c>
      <c r="D87" s="1" t="s">
        <v>35</v>
      </c>
      <c r="E87">
        <v>82</v>
      </c>
      <c r="F87">
        <v>15.88</v>
      </c>
      <c r="G87">
        <v>1302.1600000000001</v>
      </c>
    </row>
    <row r="88" spans="1:7">
      <c r="A88" s="1" t="s">
        <v>108</v>
      </c>
      <c r="B88" s="1" t="s">
        <v>12</v>
      </c>
      <c r="C88" s="1" t="s">
        <v>32</v>
      </c>
      <c r="D88" s="1" t="s">
        <v>47</v>
      </c>
      <c r="E88">
        <v>121</v>
      </c>
      <c r="F88">
        <v>11.82</v>
      </c>
      <c r="G88">
        <v>1430.22</v>
      </c>
    </row>
    <row r="89" spans="1:7">
      <c r="A89" s="1" t="s">
        <v>109</v>
      </c>
      <c r="B89" s="1" t="s">
        <v>16</v>
      </c>
      <c r="C89" s="1" t="s">
        <v>52</v>
      </c>
      <c r="D89" s="1" t="s">
        <v>33</v>
      </c>
      <c r="E89">
        <v>81</v>
      </c>
      <c r="F89">
        <v>10.9</v>
      </c>
      <c r="G89">
        <v>882.9</v>
      </c>
    </row>
    <row r="90" spans="1:7">
      <c r="A90" s="1" t="s">
        <v>110</v>
      </c>
      <c r="B90" s="1" t="s">
        <v>12</v>
      </c>
      <c r="C90" s="1" t="s">
        <v>40</v>
      </c>
      <c r="D90" s="1" t="s">
        <v>77</v>
      </c>
      <c r="E90">
        <v>75</v>
      </c>
      <c r="F90">
        <v>6.68</v>
      </c>
      <c r="G90">
        <v>501</v>
      </c>
    </row>
    <row r="91" spans="1:7">
      <c r="A91" s="1" t="s">
        <v>111</v>
      </c>
      <c r="B91" s="1" t="s">
        <v>12</v>
      </c>
      <c r="C91" s="1" t="s">
        <v>17</v>
      </c>
      <c r="D91" s="1" t="s">
        <v>24</v>
      </c>
      <c r="E91">
        <v>20</v>
      </c>
      <c r="F91">
        <v>11.82</v>
      </c>
      <c r="G91">
        <v>236.4</v>
      </c>
    </row>
    <row r="92" spans="1:7">
      <c r="A92" s="1" t="s">
        <v>112</v>
      </c>
      <c r="B92" s="1" t="s">
        <v>19</v>
      </c>
      <c r="C92" s="1" t="s">
        <v>17</v>
      </c>
      <c r="D92" s="1" t="s">
        <v>35</v>
      </c>
      <c r="E92">
        <v>145</v>
      </c>
      <c r="F92">
        <v>14.3</v>
      </c>
      <c r="G92">
        <v>2073.5</v>
      </c>
    </row>
    <row r="93" spans="1:7">
      <c r="A93" s="1" t="s">
        <v>80</v>
      </c>
      <c r="B93" s="1" t="s">
        <v>22</v>
      </c>
      <c r="C93" s="1" t="s">
        <v>40</v>
      </c>
      <c r="D93" s="1" t="s">
        <v>38</v>
      </c>
      <c r="E93">
        <v>91</v>
      </c>
      <c r="F93">
        <v>15.42</v>
      </c>
      <c r="G93">
        <v>1403.22</v>
      </c>
    </row>
    <row r="94" spans="1:7">
      <c r="A94" s="1" t="s">
        <v>113</v>
      </c>
      <c r="B94" s="1" t="s">
        <v>22</v>
      </c>
      <c r="C94" s="1" t="s">
        <v>52</v>
      </c>
      <c r="D94" s="1" t="s">
        <v>33</v>
      </c>
      <c r="E94">
        <v>79</v>
      </c>
      <c r="F94">
        <v>9.58</v>
      </c>
      <c r="G94">
        <v>756.82</v>
      </c>
    </row>
    <row r="95" spans="1:7">
      <c r="A95" s="1" t="s">
        <v>114</v>
      </c>
      <c r="B95" s="1" t="s">
        <v>8</v>
      </c>
      <c r="C95" s="1" t="s">
        <v>9</v>
      </c>
      <c r="D95" s="1" t="s">
        <v>14</v>
      </c>
      <c r="E95">
        <v>177</v>
      </c>
      <c r="F95">
        <v>8.9499999999999993</v>
      </c>
      <c r="G95">
        <v>1584.15</v>
      </c>
    </row>
    <row r="96" spans="1:7">
      <c r="A96" s="1" t="s">
        <v>115</v>
      </c>
      <c r="B96" s="1" t="s">
        <v>22</v>
      </c>
      <c r="C96" s="1" t="s">
        <v>9</v>
      </c>
      <c r="D96" s="1" t="s">
        <v>47</v>
      </c>
      <c r="E96">
        <v>169</v>
      </c>
      <c r="F96">
        <v>18.62</v>
      </c>
      <c r="G96">
        <v>3146.78</v>
      </c>
    </row>
    <row r="97" spans="1:7">
      <c r="A97" s="1" t="s">
        <v>116</v>
      </c>
      <c r="B97" s="1" t="s">
        <v>12</v>
      </c>
      <c r="C97" s="1" t="s">
        <v>9</v>
      </c>
      <c r="D97" s="1" t="s">
        <v>43</v>
      </c>
      <c r="E97">
        <v>103</v>
      </c>
      <c r="F97">
        <v>3.74</v>
      </c>
      <c r="G97">
        <v>385.22</v>
      </c>
    </row>
    <row r="98" spans="1:7">
      <c r="A98" s="1" t="s">
        <v>117</v>
      </c>
      <c r="B98" s="1" t="s">
        <v>22</v>
      </c>
      <c r="C98" s="1" t="s">
        <v>60</v>
      </c>
      <c r="D98" s="1" t="s">
        <v>43</v>
      </c>
      <c r="E98">
        <v>67</v>
      </c>
      <c r="F98">
        <v>12.98</v>
      </c>
      <c r="G98">
        <v>869.66</v>
      </c>
    </row>
    <row r="99" spans="1:7">
      <c r="A99" s="1" t="s">
        <v>67</v>
      </c>
      <c r="B99" s="1" t="s">
        <v>16</v>
      </c>
      <c r="C99" s="1" t="s">
        <v>32</v>
      </c>
      <c r="D99" s="1" t="s">
        <v>35</v>
      </c>
      <c r="E99">
        <v>148</v>
      </c>
      <c r="F99">
        <v>2.71</v>
      </c>
      <c r="G99">
        <v>401.08</v>
      </c>
    </row>
    <row r="100" spans="1:7">
      <c r="A100" s="1" t="s">
        <v>118</v>
      </c>
      <c r="B100" s="1" t="s">
        <v>8</v>
      </c>
      <c r="C100" s="1" t="s">
        <v>52</v>
      </c>
      <c r="D100" s="1" t="s">
        <v>35</v>
      </c>
      <c r="E100">
        <v>184</v>
      </c>
      <c r="F100">
        <v>4.3</v>
      </c>
      <c r="G100">
        <v>791.2</v>
      </c>
    </row>
    <row r="101" spans="1:7">
      <c r="A101" s="1" t="s">
        <v>119</v>
      </c>
      <c r="B101" s="1" t="s">
        <v>19</v>
      </c>
      <c r="C101" s="1" t="s">
        <v>40</v>
      </c>
      <c r="D101" s="1" t="s">
        <v>77</v>
      </c>
      <c r="E101">
        <v>20</v>
      </c>
      <c r="F101">
        <v>10.199999999999999</v>
      </c>
      <c r="G101">
        <v>204</v>
      </c>
    </row>
    <row r="102" spans="1:7">
      <c r="A102" s="1" t="s">
        <v>120</v>
      </c>
      <c r="B102" s="1" t="s">
        <v>19</v>
      </c>
      <c r="C102" s="1" t="s">
        <v>13</v>
      </c>
      <c r="D102" s="1" t="s">
        <v>43</v>
      </c>
      <c r="E102">
        <v>114</v>
      </c>
      <c r="F102">
        <v>9.08</v>
      </c>
      <c r="G102">
        <v>1035.1199999999999</v>
      </c>
    </row>
    <row r="103" spans="1:7">
      <c r="A103" s="1" t="s">
        <v>121</v>
      </c>
      <c r="B103" s="1" t="s">
        <v>12</v>
      </c>
      <c r="C103" s="1" t="s">
        <v>9</v>
      </c>
      <c r="D103" s="1" t="s">
        <v>38</v>
      </c>
      <c r="E103">
        <v>56</v>
      </c>
      <c r="F103">
        <v>18.920000000000002</v>
      </c>
      <c r="G103">
        <v>1059.52</v>
      </c>
    </row>
    <row r="104" spans="1:7">
      <c r="A104" s="1" t="s">
        <v>122</v>
      </c>
      <c r="B104" s="1" t="s">
        <v>12</v>
      </c>
      <c r="C104" s="1" t="s">
        <v>13</v>
      </c>
      <c r="D104" s="1" t="s">
        <v>20</v>
      </c>
      <c r="E104">
        <v>65</v>
      </c>
      <c r="F104">
        <v>9.36</v>
      </c>
      <c r="G104">
        <v>608.4</v>
      </c>
    </row>
    <row r="105" spans="1:7">
      <c r="A105" s="1" t="s">
        <v>123</v>
      </c>
      <c r="B105" s="1" t="s">
        <v>19</v>
      </c>
      <c r="C105" s="1" t="s">
        <v>17</v>
      </c>
      <c r="D105" s="1" t="s">
        <v>14</v>
      </c>
      <c r="E105">
        <v>59</v>
      </c>
      <c r="F105">
        <v>8.84</v>
      </c>
      <c r="G105">
        <v>521.55999999999995</v>
      </c>
    </row>
    <row r="106" spans="1:7">
      <c r="A106" s="1" t="s">
        <v>124</v>
      </c>
      <c r="B106" s="1" t="s">
        <v>8</v>
      </c>
      <c r="C106" s="1" t="s">
        <v>13</v>
      </c>
      <c r="D106" s="1" t="s">
        <v>33</v>
      </c>
      <c r="E106">
        <v>29</v>
      </c>
      <c r="F106">
        <v>10.53</v>
      </c>
      <c r="G106">
        <v>305.37</v>
      </c>
    </row>
    <row r="107" spans="1:7">
      <c r="A107" s="1" t="s">
        <v>125</v>
      </c>
      <c r="B107" s="1" t="s">
        <v>19</v>
      </c>
      <c r="C107" s="1" t="s">
        <v>40</v>
      </c>
      <c r="D107" s="1" t="s">
        <v>14</v>
      </c>
      <c r="E107">
        <v>46</v>
      </c>
      <c r="F107">
        <v>10.67</v>
      </c>
      <c r="G107">
        <v>490.82</v>
      </c>
    </row>
    <row r="108" spans="1:7">
      <c r="A108" s="1" t="s">
        <v>126</v>
      </c>
      <c r="B108" s="1" t="s">
        <v>22</v>
      </c>
      <c r="C108" s="1" t="s">
        <v>13</v>
      </c>
      <c r="D108" s="1" t="s">
        <v>10</v>
      </c>
      <c r="E108">
        <v>153</v>
      </c>
      <c r="F108">
        <v>4.1399999999999997</v>
      </c>
      <c r="G108">
        <v>633.41999999999996</v>
      </c>
    </row>
    <row r="109" spans="1:7">
      <c r="A109" s="1" t="s">
        <v>127</v>
      </c>
      <c r="B109" s="1" t="s">
        <v>22</v>
      </c>
      <c r="C109" s="1" t="s">
        <v>17</v>
      </c>
      <c r="D109" s="1" t="s">
        <v>10</v>
      </c>
      <c r="E109">
        <v>40</v>
      </c>
      <c r="F109">
        <v>1.27</v>
      </c>
      <c r="G109">
        <v>50.8</v>
      </c>
    </row>
    <row r="110" spans="1:7">
      <c r="A110" s="1" t="s">
        <v>115</v>
      </c>
      <c r="B110" s="1" t="s">
        <v>16</v>
      </c>
      <c r="C110" s="1" t="s">
        <v>9</v>
      </c>
      <c r="D110" s="1" t="s">
        <v>77</v>
      </c>
      <c r="E110">
        <v>30</v>
      </c>
      <c r="F110">
        <v>7.46</v>
      </c>
      <c r="G110">
        <v>223.8</v>
      </c>
    </row>
    <row r="111" spans="1:7">
      <c r="A111" s="1" t="s">
        <v>128</v>
      </c>
      <c r="B111" s="1" t="s">
        <v>16</v>
      </c>
      <c r="C111" s="1" t="s">
        <v>23</v>
      </c>
      <c r="D111" s="1" t="s">
        <v>77</v>
      </c>
      <c r="E111">
        <v>51</v>
      </c>
      <c r="F111">
        <v>15.16</v>
      </c>
      <c r="G111">
        <v>773.16</v>
      </c>
    </row>
    <row r="112" spans="1:7">
      <c r="A112" s="1" t="s">
        <v>129</v>
      </c>
      <c r="B112" s="1" t="s">
        <v>19</v>
      </c>
      <c r="C112" s="1" t="s">
        <v>26</v>
      </c>
      <c r="D112" s="1" t="s">
        <v>33</v>
      </c>
      <c r="E112">
        <v>14</v>
      </c>
      <c r="F112">
        <v>2.37</v>
      </c>
      <c r="G112">
        <v>33.18</v>
      </c>
    </row>
    <row r="113" spans="1:7">
      <c r="A113" s="1" t="s">
        <v>130</v>
      </c>
      <c r="B113" s="1" t="s">
        <v>12</v>
      </c>
      <c r="C113" s="1" t="s">
        <v>13</v>
      </c>
      <c r="D113" s="1" t="s">
        <v>43</v>
      </c>
      <c r="E113">
        <v>116</v>
      </c>
      <c r="F113">
        <v>9.93</v>
      </c>
      <c r="G113">
        <v>1151.8800000000001</v>
      </c>
    </row>
    <row r="114" spans="1:7">
      <c r="A114" s="1" t="s">
        <v>31</v>
      </c>
      <c r="B114" s="1" t="s">
        <v>8</v>
      </c>
      <c r="C114" s="1" t="s">
        <v>9</v>
      </c>
      <c r="D114" s="1" t="s">
        <v>47</v>
      </c>
      <c r="E114">
        <v>196</v>
      </c>
      <c r="F114">
        <v>6.36</v>
      </c>
      <c r="G114">
        <v>1246.56</v>
      </c>
    </row>
    <row r="115" spans="1:7">
      <c r="A115" s="1" t="s">
        <v>131</v>
      </c>
      <c r="B115" s="1" t="s">
        <v>12</v>
      </c>
      <c r="C115" s="1" t="s">
        <v>46</v>
      </c>
      <c r="D115" s="1" t="s">
        <v>24</v>
      </c>
      <c r="E115">
        <v>73</v>
      </c>
      <c r="F115">
        <v>7.35</v>
      </c>
      <c r="G115">
        <v>536.54999999999995</v>
      </c>
    </row>
    <row r="116" spans="1:7">
      <c r="A116" s="1" t="s">
        <v>132</v>
      </c>
      <c r="B116" s="1" t="s">
        <v>19</v>
      </c>
      <c r="C116" s="1" t="s">
        <v>52</v>
      </c>
      <c r="D116" s="1" t="s">
        <v>10</v>
      </c>
      <c r="E116">
        <v>60</v>
      </c>
      <c r="F116">
        <v>2.97</v>
      </c>
      <c r="G116">
        <v>178.2</v>
      </c>
    </row>
    <row r="117" spans="1:7">
      <c r="A117" s="1" t="s">
        <v>133</v>
      </c>
      <c r="B117" s="1" t="s">
        <v>19</v>
      </c>
      <c r="C117" s="1" t="s">
        <v>52</v>
      </c>
      <c r="D117" s="1" t="s">
        <v>43</v>
      </c>
      <c r="E117">
        <v>126</v>
      </c>
      <c r="F117">
        <v>14.23</v>
      </c>
      <c r="G117">
        <v>1792.98</v>
      </c>
    </row>
    <row r="118" spans="1:7">
      <c r="A118" s="1" t="s">
        <v>134</v>
      </c>
      <c r="B118" s="1" t="s">
        <v>19</v>
      </c>
      <c r="C118" s="1" t="s">
        <v>46</v>
      </c>
      <c r="D118" s="1" t="s">
        <v>43</v>
      </c>
      <c r="E118">
        <v>139</v>
      </c>
      <c r="F118">
        <v>6.36</v>
      </c>
      <c r="G118">
        <v>884.04</v>
      </c>
    </row>
    <row r="119" spans="1:7">
      <c r="A119" s="1" t="s">
        <v>104</v>
      </c>
      <c r="B119" s="1" t="s">
        <v>16</v>
      </c>
      <c r="C119" s="1" t="s">
        <v>32</v>
      </c>
      <c r="D119" s="1" t="s">
        <v>33</v>
      </c>
      <c r="E119">
        <v>66</v>
      </c>
      <c r="F119">
        <v>18.07</v>
      </c>
      <c r="G119">
        <v>1192.6199999999999</v>
      </c>
    </row>
    <row r="120" spans="1:7">
      <c r="A120" s="1" t="s">
        <v>135</v>
      </c>
      <c r="B120" s="1" t="s">
        <v>16</v>
      </c>
      <c r="C120" s="1" t="s">
        <v>9</v>
      </c>
      <c r="D120" s="1" t="s">
        <v>24</v>
      </c>
      <c r="E120">
        <v>101</v>
      </c>
      <c r="F120">
        <v>10.67</v>
      </c>
      <c r="G120">
        <v>1077.67</v>
      </c>
    </row>
    <row r="121" spans="1:7">
      <c r="A121" s="1" t="s">
        <v>136</v>
      </c>
      <c r="B121" s="1" t="s">
        <v>16</v>
      </c>
      <c r="C121" s="1" t="s">
        <v>46</v>
      </c>
      <c r="D121" s="1" t="s">
        <v>35</v>
      </c>
      <c r="E121">
        <v>181</v>
      </c>
      <c r="F121">
        <v>18.899999999999999</v>
      </c>
      <c r="G121">
        <v>3420.9</v>
      </c>
    </row>
    <row r="122" spans="1:7">
      <c r="A122" s="1" t="s">
        <v>75</v>
      </c>
      <c r="B122" s="1" t="s">
        <v>16</v>
      </c>
      <c r="C122" s="1" t="s">
        <v>32</v>
      </c>
      <c r="D122" s="1" t="s">
        <v>33</v>
      </c>
      <c r="E122">
        <v>65</v>
      </c>
      <c r="F122">
        <v>5.1100000000000003</v>
      </c>
      <c r="G122">
        <v>332.15</v>
      </c>
    </row>
    <row r="123" spans="1:7">
      <c r="A123" s="1" t="s">
        <v>137</v>
      </c>
      <c r="B123" s="1" t="s">
        <v>8</v>
      </c>
      <c r="C123" s="1" t="s">
        <v>26</v>
      </c>
      <c r="D123" s="1" t="s">
        <v>20</v>
      </c>
      <c r="E123">
        <v>77</v>
      </c>
      <c r="F123">
        <v>7.45</v>
      </c>
      <c r="G123">
        <v>573.65</v>
      </c>
    </row>
    <row r="124" spans="1:7">
      <c r="A124" s="1" t="s">
        <v>137</v>
      </c>
      <c r="B124" s="1" t="s">
        <v>22</v>
      </c>
      <c r="C124" s="1" t="s">
        <v>32</v>
      </c>
      <c r="D124" s="1" t="s">
        <v>77</v>
      </c>
      <c r="E124">
        <v>83</v>
      </c>
      <c r="F124">
        <v>13.5</v>
      </c>
      <c r="G124">
        <v>1120.5</v>
      </c>
    </row>
    <row r="125" spans="1:7">
      <c r="A125" s="1" t="s">
        <v>138</v>
      </c>
      <c r="B125" s="1" t="s">
        <v>16</v>
      </c>
      <c r="C125" s="1" t="s">
        <v>46</v>
      </c>
      <c r="D125" s="1" t="s">
        <v>38</v>
      </c>
      <c r="E125">
        <v>109</v>
      </c>
      <c r="F125">
        <v>19.23</v>
      </c>
      <c r="G125">
        <v>2096.0700000000002</v>
      </c>
    </row>
    <row r="126" spans="1:7">
      <c r="A126" s="1" t="s">
        <v>139</v>
      </c>
      <c r="B126" s="1" t="s">
        <v>16</v>
      </c>
      <c r="C126" s="1" t="s">
        <v>9</v>
      </c>
      <c r="D126" s="1" t="s">
        <v>77</v>
      </c>
      <c r="E126">
        <v>186</v>
      </c>
      <c r="F126">
        <v>14.48</v>
      </c>
      <c r="G126">
        <v>2693.28</v>
      </c>
    </row>
    <row r="127" spans="1:7">
      <c r="A127" s="1" t="s">
        <v>116</v>
      </c>
      <c r="B127" s="1" t="s">
        <v>22</v>
      </c>
      <c r="C127" s="1" t="s">
        <v>23</v>
      </c>
      <c r="D127" s="1" t="s">
        <v>77</v>
      </c>
      <c r="E127">
        <v>45</v>
      </c>
      <c r="F127">
        <v>2.06</v>
      </c>
      <c r="G127">
        <v>92.7</v>
      </c>
    </row>
    <row r="128" spans="1:7">
      <c r="A128" s="1" t="s">
        <v>107</v>
      </c>
      <c r="B128" s="1" t="s">
        <v>22</v>
      </c>
      <c r="C128" s="1" t="s">
        <v>26</v>
      </c>
      <c r="D128" s="1" t="s">
        <v>20</v>
      </c>
      <c r="E128">
        <v>84</v>
      </c>
      <c r="F128">
        <v>19.77</v>
      </c>
      <c r="G128">
        <v>1660.68</v>
      </c>
    </row>
    <row r="129" spans="1:7">
      <c r="A129" s="1" t="s">
        <v>140</v>
      </c>
      <c r="B129" s="1" t="s">
        <v>19</v>
      </c>
      <c r="C129" s="1" t="s">
        <v>46</v>
      </c>
      <c r="D129" s="1" t="s">
        <v>14</v>
      </c>
      <c r="E129">
        <v>68</v>
      </c>
      <c r="F129">
        <v>4.3899999999999997</v>
      </c>
      <c r="G129">
        <v>298.52</v>
      </c>
    </row>
    <row r="130" spans="1:7">
      <c r="A130" s="1" t="s">
        <v>132</v>
      </c>
      <c r="B130" s="1" t="s">
        <v>22</v>
      </c>
      <c r="C130" s="1" t="s">
        <v>40</v>
      </c>
      <c r="D130" s="1" t="s">
        <v>14</v>
      </c>
      <c r="E130">
        <v>196</v>
      </c>
      <c r="F130">
        <v>18.07</v>
      </c>
      <c r="G130">
        <v>3541.72</v>
      </c>
    </row>
    <row r="131" spans="1:7">
      <c r="A131" s="1" t="s">
        <v>141</v>
      </c>
      <c r="B131" s="1" t="s">
        <v>22</v>
      </c>
      <c r="C131" s="1" t="s">
        <v>9</v>
      </c>
      <c r="D131" s="1" t="s">
        <v>38</v>
      </c>
      <c r="E131">
        <v>125</v>
      </c>
      <c r="F131">
        <v>1.98</v>
      </c>
      <c r="G131">
        <v>247.5</v>
      </c>
    </row>
    <row r="132" spans="1:7">
      <c r="A132" s="1" t="s">
        <v>142</v>
      </c>
      <c r="B132" s="1" t="s">
        <v>19</v>
      </c>
      <c r="C132" s="1" t="s">
        <v>32</v>
      </c>
      <c r="D132" s="1" t="s">
        <v>10</v>
      </c>
      <c r="E132">
        <v>69</v>
      </c>
      <c r="F132">
        <v>18.57</v>
      </c>
      <c r="G132">
        <v>1281.33</v>
      </c>
    </row>
    <row r="133" spans="1:7">
      <c r="A133" s="1" t="s">
        <v>143</v>
      </c>
      <c r="B133" s="1" t="s">
        <v>8</v>
      </c>
      <c r="C133" s="1" t="s">
        <v>52</v>
      </c>
      <c r="D133" s="1" t="s">
        <v>38</v>
      </c>
      <c r="E133">
        <v>184</v>
      </c>
      <c r="F133">
        <v>16.36</v>
      </c>
      <c r="G133">
        <v>3010.24</v>
      </c>
    </row>
    <row r="134" spans="1:7">
      <c r="A134" s="1" t="s">
        <v>130</v>
      </c>
      <c r="B134" s="1" t="s">
        <v>12</v>
      </c>
      <c r="C134" s="1" t="s">
        <v>40</v>
      </c>
      <c r="D134" s="1" t="s">
        <v>38</v>
      </c>
      <c r="E134">
        <v>176</v>
      </c>
      <c r="F134">
        <v>6.39</v>
      </c>
      <c r="G134">
        <v>1124.6400000000001</v>
      </c>
    </row>
    <row r="135" spans="1:7">
      <c r="A135" s="1" t="s">
        <v>144</v>
      </c>
      <c r="B135" s="1" t="s">
        <v>16</v>
      </c>
      <c r="C135" s="1" t="s">
        <v>60</v>
      </c>
      <c r="D135" s="1" t="s">
        <v>43</v>
      </c>
      <c r="E135">
        <v>112</v>
      </c>
      <c r="F135">
        <v>16.45</v>
      </c>
      <c r="G135">
        <v>1842.4</v>
      </c>
    </row>
    <row r="136" spans="1:7">
      <c r="A136" s="1" t="s">
        <v>145</v>
      </c>
      <c r="B136" s="1" t="s">
        <v>19</v>
      </c>
      <c r="C136" s="1" t="s">
        <v>40</v>
      </c>
      <c r="D136" s="1" t="s">
        <v>33</v>
      </c>
      <c r="E136">
        <v>10</v>
      </c>
      <c r="F136">
        <v>19.41</v>
      </c>
      <c r="G136">
        <v>194.1</v>
      </c>
    </row>
    <row r="137" spans="1:7">
      <c r="A137" s="1" t="s">
        <v>134</v>
      </c>
      <c r="B137" s="1" t="s">
        <v>22</v>
      </c>
      <c r="C137" s="1" t="s">
        <v>23</v>
      </c>
      <c r="D137" s="1" t="s">
        <v>77</v>
      </c>
      <c r="E137">
        <v>34</v>
      </c>
      <c r="F137">
        <v>15.27</v>
      </c>
      <c r="G137">
        <v>519.17999999999995</v>
      </c>
    </row>
    <row r="138" spans="1:7">
      <c r="A138" s="1" t="s">
        <v>146</v>
      </c>
      <c r="B138" s="1" t="s">
        <v>12</v>
      </c>
      <c r="C138" s="1" t="s">
        <v>9</v>
      </c>
      <c r="D138" s="1" t="s">
        <v>33</v>
      </c>
      <c r="E138">
        <v>60</v>
      </c>
      <c r="F138">
        <v>12.15</v>
      </c>
      <c r="G138">
        <v>729</v>
      </c>
    </row>
    <row r="139" spans="1:7">
      <c r="A139" s="1" t="s">
        <v>11</v>
      </c>
      <c r="B139" s="1" t="s">
        <v>16</v>
      </c>
      <c r="C139" s="1" t="s">
        <v>17</v>
      </c>
      <c r="D139" s="1" t="s">
        <v>77</v>
      </c>
      <c r="E139">
        <v>168</v>
      </c>
      <c r="F139">
        <v>1.8</v>
      </c>
      <c r="G139">
        <v>302.39999999999998</v>
      </c>
    </row>
    <row r="140" spans="1:7">
      <c r="A140" s="1" t="s">
        <v>147</v>
      </c>
      <c r="B140" s="1" t="s">
        <v>16</v>
      </c>
      <c r="C140" s="1" t="s">
        <v>46</v>
      </c>
      <c r="D140" s="1" t="s">
        <v>24</v>
      </c>
      <c r="E140">
        <v>51</v>
      </c>
      <c r="F140">
        <v>2.5499999999999998</v>
      </c>
      <c r="G140">
        <v>130.05000000000001</v>
      </c>
    </row>
    <row r="141" spans="1:7">
      <c r="A141" s="1" t="s">
        <v>112</v>
      </c>
      <c r="B141" s="1" t="s">
        <v>8</v>
      </c>
      <c r="C141" s="1" t="s">
        <v>52</v>
      </c>
      <c r="D141" s="1" t="s">
        <v>77</v>
      </c>
      <c r="E141">
        <v>156</v>
      </c>
      <c r="F141">
        <v>19.32</v>
      </c>
      <c r="G141">
        <v>3013.92</v>
      </c>
    </row>
    <row r="142" spans="1:7">
      <c r="A142" s="1" t="s">
        <v>148</v>
      </c>
      <c r="B142" s="1" t="s">
        <v>19</v>
      </c>
      <c r="C142" s="1" t="s">
        <v>17</v>
      </c>
      <c r="D142" s="1" t="s">
        <v>35</v>
      </c>
      <c r="E142">
        <v>79</v>
      </c>
      <c r="F142">
        <v>9.34</v>
      </c>
      <c r="G142">
        <v>737.86</v>
      </c>
    </row>
    <row r="143" spans="1:7">
      <c r="A143" s="1" t="s">
        <v>149</v>
      </c>
      <c r="B143" s="1" t="s">
        <v>22</v>
      </c>
      <c r="C143" s="1" t="s">
        <v>9</v>
      </c>
      <c r="D143" s="1" t="s">
        <v>38</v>
      </c>
      <c r="E143">
        <v>173</v>
      </c>
      <c r="F143">
        <v>6.58</v>
      </c>
      <c r="G143">
        <v>1138.3399999999999</v>
      </c>
    </row>
    <row r="144" spans="1:7">
      <c r="A144" s="1" t="s">
        <v>150</v>
      </c>
      <c r="B144" s="1" t="s">
        <v>8</v>
      </c>
      <c r="C144" s="1" t="s">
        <v>23</v>
      </c>
      <c r="D144" s="1" t="s">
        <v>14</v>
      </c>
      <c r="E144">
        <v>118</v>
      </c>
      <c r="F144">
        <v>18.28</v>
      </c>
      <c r="G144">
        <v>2157.04</v>
      </c>
    </row>
    <row r="145" spans="1:7">
      <c r="A145" s="1" t="s">
        <v>151</v>
      </c>
      <c r="B145" s="1" t="s">
        <v>16</v>
      </c>
      <c r="C145" s="1" t="s">
        <v>13</v>
      </c>
      <c r="D145" s="1" t="s">
        <v>24</v>
      </c>
      <c r="E145">
        <v>152</v>
      </c>
      <c r="F145">
        <v>7.78</v>
      </c>
      <c r="G145">
        <v>1182.56</v>
      </c>
    </row>
    <row r="146" spans="1:7">
      <c r="A146" s="1" t="s">
        <v>7</v>
      </c>
      <c r="B146" s="1" t="s">
        <v>22</v>
      </c>
      <c r="C146" s="1" t="s">
        <v>32</v>
      </c>
      <c r="D146" s="1" t="s">
        <v>24</v>
      </c>
      <c r="E146">
        <v>177</v>
      </c>
      <c r="F146">
        <v>15.35</v>
      </c>
      <c r="G146">
        <v>2716.95</v>
      </c>
    </row>
    <row r="147" spans="1:7">
      <c r="A147" s="1" t="s">
        <v>152</v>
      </c>
      <c r="B147" s="1" t="s">
        <v>22</v>
      </c>
      <c r="C147" s="1" t="s">
        <v>46</v>
      </c>
      <c r="D147" s="1" t="s">
        <v>10</v>
      </c>
      <c r="E147">
        <v>99</v>
      </c>
      <c r="F147">
        <v>2.61</v>
      </c>
      <c r="G147">
        <v>258.39</v>
      </c>
    </row>
    <row r="148" spans="1:7">
      <c r="A148" s="1" t="s">
        <v>153</v>
      </c>
      <c r="B148" s="1" t="s">
        <v>12</v>
      </c>
      <c r="C148" s="1" t="s">
        <v>46</v>
      </c>
      <c r="D148" s="1" t="s">
        <v>24</v>
      </c>
      <c r="E148">
        <v>153</v>
      </c>
      <c r="F148">
        <v>15.32</v>
      </c>
      <c r="G148">
        <v>2343.96</v>
      </c>
    </row>
    <row r="149" spans="1:7">
      <c r="A149" s="1" t="s">
        <v>154</v>
      </c>
      <c r="B149" s="1" t="s">
        <v>12</v>
      </c>
      <c r="C149" s="1" t="s">
        <v>46</v>
      </c>
      <c r="D149" s="1" t="s">
        <v>14</v>
      </c>
      <c r="E149">
        <v>13</v>
      </c>
      <c r="F149">
        <v>19.989999999999998</v>
      </c>
      <c r="G149">
        <v>259.87</v>
      </c>
    </row>
    <row r="150" spans="1:7">
      <c r="A150" s="1" t="s">
        <v>155</v>
      </c>
      <c r="B150" s="1" t="s">
        <v>12</v>
      </c>
      <c r="C150" s="1" t="s">
        <v>52</v>
      </c>
      <c r="D150" s="1" t="s">
        <v>20</v>
      </c>
      <c r="E150">
        <v>39</v>
      </c>
      <c r="F150">
        <v>15.54</v>
      </c>
      <c r="G150">
        <v>606.05999999999995</v>
      </c>
    </row>
    <row r="151" spans="1:7">
      <c r="A151" s="1" t="s">
        <v>65</v>
      </c>
      <c r="B151" s="1" t="s">
        <v>16</v>
      </c>
      <c r="C151" s="1" t="s">
        <v>32</v>
      </c>
      <c r="D151" s="1" t="s">
        <v>14</v>
      </c>
      <c r="E151">
        <v>43</v>
      </c>
      <c r="F151">
        <v>1.54</v>
      </c>
      <c r="G151">
        <v>66.22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E0D4-FC69-4497-B6EF-91B2C83DC9FF}">
  <dimension ref="A1:M151"/>
  <sheetViews>
    <sheetView topLeftCell="A5" workbookViewId="0">
      <selection activeCell="I18" sqref="I18"/>
    </sheetView>
  </sheetViews>
  <sheetFormatPr defaultRowHeight="14.45"/>
  <cols>
    <col min="1" max="1" width="11.85546875" bestFit="1" customWidth="1"/>
    <col min="2" max="2" width="9" bestFit="1" customWidth="1"/>
    <col min="3" max="3" width="8" bestFit="1" customWidth="1"/>
    <col min="4" max="4" width="9.28515625" bestFit="1" customWidth="1"/>
    <col min="5" max="5" width="7.5703125" bestFit="1" customWidth="1"/>
    <col min="6" max="6" width="10.85546875" bestFit="1" customWidth="1"/>
    <col min="7" max="7" width="10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s="1" t="s">
        <v>7</v>
      </c>
      <c r="B2" s="1" t="s">
        <v>8</v>
      </c>
      <c r="C2" s="1" t="s">
        <v>9</v>
      </c>
      <c r="D2" s="1" t="s">
        <v>10</v>
      </c>
      <c r="E2">
        <v>58</v>
      </c>
      <c r="F2">
        <v>7.17</v>
      </c>
      <c r="G2">
        <v>415.86</v>
      </c>
    </row>
    <row r="3" spans="1:13">
      <c r="A3" s="1" t="s">
        <v>11</v>
      </c>
      <c r="B3" s="1" t="s">
        <v>12</v>
      </c>
      <c r="C3" s="1" t="s">
        <v>13</v>
      </c>
      <c r="D3" s="1" t="s">
        <v>14</v>
      </c>
      <c r="E3">
        <v>184</v>
      </c>
      <c r="F3">
        <v>2.2999999999999998</v>
      </c>
      <c r="G3">
        <v>423.2</v>
      </c>
    </row>
    <row r="4" spans="1:13">
      <c r="A4" s="1" t="s">
        <v>15</v>
      </c>
      <c r="B4" s="1" t="s">
        <v>16</v>
      </c>
      <c r="C4" s="1" t="s">
        <v>17</v>
      </c>
      <c r="D4" s="1" t="s">
        <v>10</v>
      </c>
      <c r="E4">
        <v>104</v>
      </c>
      <c r="F4">
        <v>12.48</v>
      </c>
      <c r="G4">
        <v>1297.92</v>
      </c>
      <c r="I4" s="4" t="s">
        <v>156</v>
      </c>
      <c r="J4" s="4"/>
      <c r="K4" s="4"/>
      <c r="L4" s="4"/>
      <c r="M4" s="4"/>
    </row>
    <row r="5" spans="1:13">
      <c r="A5" s="1" t="s">
        <v>18</v>
      </c>
      <c r="B5" s="1" t="s">
        <v>19</v>
      </c>
      <c r="C5" s="1" t="s">
        <v>17</v>
      </c>
      <c r="D5" s="1" t="s">
        <v>20</v>
      </c>
      <c r="E5">
        <v>171</v>
      </c>
      <c r="F5">
        <v>11.5</v>
      </c>
      <c r="G5">
        <v>1966.5</v>
      </c>
    </row>
    <row r="6" spans="1:13">
      <c r="A6" s="1" t="s">
        <v>21</v>
      </c>
      <c r="B6" s="1" t="s">
        <v>22</v>
      </c>
      <c r="C6" s="1" t="s">
        <v>23</v>
      </c>
      <c r="D6" s="1" t="s">
        <v>24</v>
      </c>
      <c r="E6">
        <v>168</v>
      </c>
      <c r="F6">
        <v>9.42</v>
      </c>
      <c r="G6">
        <v>1582.56</v>
      </c>
      <c r="I6" s="3">
        <f>SUMIF(Sheet13[Region],Sheet13[[#This Row],[Region]],Sheet13[Unit Cost])</f>
        <v>331.67</v>
      </c>
    </row>
    <row r="7" spans="1:13">
      <c r="A7" s="1" t="s">
        <v>25</v>
      </c>
      <c r="B7" s="1" t="s">
        <v>16</v>
      </c>
      <c r="C7" s="1" t="s">
        <v>26</v>
      </c>
      <c r="D7" s="1" t="s">
        <v>10</v>
      </c>
      <c r="E7">
        <v>64</v>
      </c>
      <c r="F7">
        <v>2.2599999999999998</v>
      </c>
      <c r="G7">
        <v>144.63999999999999</v>
      </c>
    </row>
    <row r="8" spans="1:13">
      <c r="A8" s="1" t="s">
        <v>27</v>
      </c>
      <c r="B8" s="1" t="s">
        <v>16</v>
      </c>
      <c r="C8" s="1" t="s">
        <v>9</v>
      </c>
      <c r="D8" s="1" t="s">
        <v>20</v>
      </c>
      <c r="E8">
        <v>72</v>
      </c>
      <c r="F8">
        <v>8.41</v>
      </c>
      <c r="G8">
        <v>605.52</v>
      </c>
    </row>
    <row r="9" spans="1:13">
      <c r="A9" s="1" t="s">
        <v>28</v>
      </c>
      <c r="B9" s="1" t="s">
        <v>22</v>
      </c>
      <c r="C9" s="1" t="s">
        <v>9</v>
      </c>
      <c r="D9" s="1" t="s">
        <v>14</v>
      </c>
      <c r="E9">
        <v>65</v>
      </c>
      <c r="F9">
        <v>4.55</v>
      </c>
      <c r="G9">
        <v>295.75</v>
      </c>
    </row>
    <row r="10" spans="1:13">
      <c r="A10" s="1" t="s">
        <v>29</v>
      </c>
      <c r="B10" s="1" t="s">
        <v>16</v>
      </c>
      <c r="C10" s="1" t="s">
        <v>9</v>
      </c>
      <c r="D10" s="1" t="s">
        <v>24</v>
      </c>
      <c r="E10">
        <v>162</v>
      </c>
      <c r="F10">
        <v>9.2799999999999994</v>
      </c>
      <c r="G10">
        <v>1503.36</v>
      </c>
    </row>
    <row r="11" spans="1:13">
      <c r="A11" s="1" t="s">
        <v>30</v>
      </c>
      <c r="B11" s="1" t="s">
        <v>19</v>
      </c>
      <c r="C11" s="1" t="s">
        <v>26</v>
      </c>
      <c r="D11" s="1" t="s">
        <v>10</v>
      </c>
      <c r="E11">
        <v>165</v>
      </c>
      <c r="F11">
        <v>2.2000000000000002</v>
      </c>
      <c r="G11">
        <v>363</v>
      </c>
    </row>
    <row r="12" spans="1:13">
      <c r="A12" s="1" t="s">
        <v>31</v>
      </c>
      <c r="B12" s="1" t="s">
        <v>8</v>
      </c>
      <c r="C12" s="1" t="s">
        <v>32</v>
      </c>
      <c r="D12" s="1" t="s">
        <v>33</v>
      </c>
      <c r="E12">
        <v>90</v>
      </c>
      <c r="F12">
        <v>16.920000000000002</v>
      </c>
      <c r="G12">
        <v>1522.8</v>
      </c>
      <c r="I12" s="2" t="s">
        <v>157</v>
      </c>
      <c r="J12" s="2"/>
      <c r="K12" s="2"/>
      <c r="L12" s="2"/>
      <c r="M12" s="2"/>
    </row>
    <row r="13" spans="1:13">
      <c r="A13" s="1" t="s">
        <v>34</v>
      </c>
      <c r="B13" s="1" t="s">
        <v>19</v>
      </c>
      <c r="C13" s="1" t="s">
        <v>17</v>
      </c>
      <c r="D13" s="1" t="s">
        <v>35</v>
      </c>
      <c r="E13">
        <v>171</v>
      </c>
      <c r="F13">
        <v>8.7899999999999991</v>
      </c>
      <c r="G13">
        <v>1503.09</v>
      </c>
    </row>
    <row r="14" spans="1:13">
      <c r="A14" s="1" t="s">
        <v>36</v>
      </c>
      <c r="B14" s="1" t="s">
        <v>12</v>
      </c>
      <c r="C14" s="1" t="s">
        <v>26</v>
      </c>
      <c r="D14" s="1" t="s">
        <v>24</v>
      </c>
      <c r="E14">
        <v>107</v>
      </c>
      <c r="F14">
        <v>7.9</v>
      </c>
      <c r="G14">
        <v>845.3</v>
      </c>
      <c r="I14" s="3">
        <f>SUMIF(Sheet13[Item],"Binder",Sheet13[Revenue])</f>
        <v>13241</v>
      </c>
    </row>
    <row r="15" spans="1:13">
      <c r="A15" s="1" t="s">
        <v>37</v>
      </c>
      <c r="B15" s="1" t="s">
        <v>22</v>
      </c>
      <c r="C15" s="1" t="s">
        <v>9</v>
      </c>
      <c r="D15" s="1" t="s">
        <v>38</v>
      </c>
      <c r="E15">
        <v>82</v>
      </c>
      <c r="F15">
        <v>10.95</v>
      </c>
      <c r="G15">
        <v>897.9</v>
      </c>
    </row>
    <row r="16" spans="1:13">
      <c r="A16" s="1" t="s">
        <v>39</v>
      </c>
      <c r="B16" s="1" t="s">
        <v>8</v>
      </c>
      <c r="C16" s="1" t="s">
        <v>40</v>
      </c>
      <c r="D16" s="1" t="s">
        <v>33</v>
      </c>
      <c r="E16">
        <v>19</v>
      </c>
      <c r="F16">
        <v>12.92</v>
      </c>
      <c r="G16">
        <v>245.48</v>
      </c>
    </row>
    <row r="17" spans="1:13" ht="15">
      <c r="A17" s="1" t="s">
        <v>41</v>
      </c>
      <c r="B17" s="1" t="s">
        <v>19</v>
      </c>
      <c r="C17" s="1" t="s">
        <v>32</v>
      </c>
      <c r="D17" s="1" t="s">
        <v>14</v>
      </c>
      <c r="E17">
        <v>122</v>
      </c>
      <c r="F17">
        <v>7.91</v>
      </c>
      <c r="G17">
        <v>965.02</v>
      </c>
      <c r="I17" s="2" t="s">
        <v>158</v>
      </c>
      <c r="J17" s="2"/>
      <c r="K17" s="2"/>
      <c r="L17" s="2"/>
      <c r="M17" s="2"/>
    </row>
    <row r="18" spans="1:13">
      <c r="A18" s="1" t="s">
        <v>42</v>
      </c>
      <c r="B18" s="1" t="s">
        <v>8</v>
      </c>
      <c r="C18" s="1" t="s">
        <v>17</v>
      </c>
      <c r="D18" s="1" t="s">
        <v>43</v>
      </c>
      <c r="E18">
        <v>50</v>
      </c>
      <c r="F18">
        <v>13.61</v>
      </c>
      <c r="G18">
        <v>680.5</v>
      </c>
      <c r="I18">
        <f>SUMIF(Sheet13[Item],"Pencil",Sheet13[Revenue])</f>
        <v>11181.29</v>
      </c>
    </row>
    <row r="19" spans="1:13">
      <c r="A19" s="1" t="s">
        <v>44</v>
      </c>
      <c r="B19" s="1" t="s">
        <v>19</v>
      </c>
      <c r="C19" s="1" t="s">
        <v>32</v>
      </c>
      <c r="D19" s="1" t="s">
        <v>24</v>
      </c>
      <c r="E19">
        <v>115</v>
      </c>
      <c r="F19">
        <v>9.61</v>
      </c>
      <c r="G19">
        <v>1105.1500000000001</v>
      </c>
    </row>
    <row r="20" spans="1:13">
      <c r="A20" s="1" t="s">
        <v>45</v>
      </c>
      <c r="B20" s="1" t="s">
        <v>22</v>
      </c>
      <c r="C20" s="1" t="s">
        <v>46</v>
      </c>
      <c r="D20" s="1" t="s">
        <v>47</v>
      </c>
      <c r="E20">
        <v>150</v>
      </c>
      <c r="F20">
        <v>19.8</v>
      </c>
      <c r="G20">
        <v>2970</v>
      </c>
    </row>
    <row r="21" spans="1:13">
      <c r="A21" s="1" t="s">
        <v>48</v>
      </c>
      <c r="B21" s="1" t="s">
        <v>16</v>
      </c>
      <c r="C21" s="1" t="s">
        <v>13</v>
      </c>
      <c r="D21" s="1" t="s">
        <v>24</v>
      </c>
      <c r="E21">
        <v>72</v>
      </c>
      <c r="F21">
        <v>5.1100000000000003</v>
      </c>
      <c r="G21">
        <v>367.92</v>
      </c>
    </row>
    <row r="22" spans="1:13">
      <c r="A22" s="1" t="s">
        <v>49</v>
      </c>
      <c r="B22" s="1" t="s">
        <v>19</v>
      </c>
      <c r="C22" s="1" t="s">
        <v>23</v>
      </c>
      <c r="D22" s="1" t="s">
        <v>43</v>
      </c>
      <c r="E22">
        <v>157</v>
      </c>
      <c r="F22">
        <v>11.72</v>
      </c>
      <c r="G22">
        <v>1840.04</v>
      </c>
    </row>
    <row r="23" spans="1:13">
      <c r="A23" s="1" t="s">
        <v>50</v>
      </c>
      <c r="B23" s="1" t="s">
        <v>16</v>
      </c>
      <c r="C23" s="1" t="s">
        <v>13</v>
      </c>
      <c r="D23" s="1" t="s">
        <v>38</v>
      </c>
      <c r="E23">
        <v>141</v>
      </c>
      <c r="F23">
        <v>19.77</v>
      </c>
      <c r="G23">
        <v>2787.57</v>
      </c>
    </row>
    <row r="24" spans="1:13">
      <c r="A24" s="1" t="s">
        <v>51</v>
      </c>
      <c r="B24" s="1" t="s">
        <v>16</v>
      </c>
      <c r="C24" s="1" t="s">
        <v>52</v>
      </c>
      <c r="D24" s="1" t="s">
        <v>38</v>
      </c>
      <c r="E24">
        <v>71</v>
      </c>
      <c r="F24">
        <v>1.74</v>
      </c>
      <c r="G24">
        <v>123.54</v>
      </c>
    </row>
    <row r="25" spans="1:13">
      <c r="A25" s="1" t="s">
        <v>53</v>
      </c>
      <c r="B25" s="1" t="s">
        <v>12</v>
      </c>
      <c r="C25" s="1" t="s">
        <v>52</v>
      </c>
      <c r="D25" s="1" t="s">
        <v>38</v>
      </c>
      <c r="E25">
        <v>18</v>
      </c>
      <c r="F25">
        <v>4.3</v>
      </c>
      <c r="G25">
        <v>77.400000000000006</v>
      </c>
    </row>
    <row r="26" spans="1:13">
      <c r="A26" s="1" t="s">
        <v>54</v>
      </c>
      <c r="B26" s="1" t="s">
        <v>12</v>
      </c>
      <c r="C26" s="1" t="s">
        <v>17</v>
      </c>
      <c r="D26" s="1" t="s">
        <v>10</v>
      </c>
      <c r="E26">
        <v>198</v>
      </c>
      <c r="F26">
        <v>11.41</v>
      </c>
      <c r="G26">
        <v>2259.1799999999998</v>
      </c>
    </row>
    <row r="27" spans="1:13">
      <c r="A27" s="1" t="s">
        <v>55</v>
      </c>
      <c r="B27" s="1" t="s">
        <v>19</v>
      </c>
      <c r="C27" s="1" t="s">
        <v>32</v>
      </c>
      <c r="D27" s="1" t="s">
        <v>20</v>
      </c>
      <c r="E27">
        <v>16</v>
      </c>
      <c r="F27">
        <v>12.2</v>
      </c>
      <c r="G27">
        <v>195.2</v>
      </c>
    </row>
    <row r="28" spans="1:13">
      <c r="A28" s="1" t="s">
        <v>37</v>
      </c>
      <c r="B28" s="1" t="s">
        <v>16</v>
      </c>
      <c r="C28" s="1" t="s">
        <v>26</v>
      </c>
      <c r="D28" s="1" t="s">
        <v>33</v>
      </c>
      <c r="E28">
        <v>23</v>
      </c>
      <c r="F28">
        <v>2.02</v>
      </c>
      <c r="G28">
        <v>46.46</v>
      </c>
    </row>
    <row r="29" spans="1:13">
      <c r="A29" s="1" t="s">
        <v>56</v>
      </c>
      <c r="B29" s="1" t="s">
        <v>16</v>
      </c>
      <c r="C29" s="1" t="s">
        <v>46</v>
      </c>
      <c r="D29" s="1" t="s">
        <v>33</v>
      </c>
      <c r="E29">
        <v>89</v>
      </c>
      <c r="F29">
        <v>19.899999999999999</v>
      </c>
      <c r="G29">
        <v>1771.1</v>
      </c>
    </row>
    <row r="30" spans="1:13">
      <c r="A30" s="1" t="s">
        <v>57</v>
      </c>
      <c r="B30" s="1" t="s">
        <v>8</v>
      </c>
      <c r="C30" s="1" t="s">
        <v>26</v>
      </c>
      <c r="D30" s="1" t="s">
        <v>43</v>
      </c>
      <c r="E30">
        <v>188</v>
      </c>
      <c r="F30">
        <v>7.6</v>
      </c>
      <c r="G30">
        <v>1428.8</v>
      </c>
    </row>
    <row r="31" spans="1:13">
      <c r="A31" s="1" t="s">
        <v>58</v>
      </c>
      <c r="B31" s="1" t="s">
        <v>19</v>
      </c>
      <c r="C31" s="1" t="s">
        <v>26</v>
      </c>
      <c r="D31" s="1" t="s">
        <v>38</v>
      </c>
      <c r="E31">
        <v>193</v>
      </c>
      <c r="F31">
        <v>16.36</v>
      </c>
      <c r="G31">
        <v>3157.48</v>
      </c>
    </row>
    <row r="32" spans="1:13">
      <c r="A32" s="1" t="s">
        <v>59</v>
      </c>
      <c r="B32" s="1" t="s">
        <v>16</v>
      </c>
      <c r="C32" s="1" t="s">
        <v>60</v>
      </c>
      <c r="D32" s="1" t="s">
        <v>10</v>
      </c>
      <c r="E32">
        <v>44</v>
      </c>
      <c r="F32">
        <v>16.57</v>
      </c>
      <c r="G32">
        <v>729.08</v>
      </c>
    </row>
    <row r="33" spans="1:7">
      <c r="A33" s="1" t="s">
        <v>15</v>
      </c>
      <c r="B33" s="1" t="s">
        <v>8</v>
      </c>
      <c r="C33" s="1" t="s">
        <v>52</v>
      </c>
      <c r="D33" s="1" t="s">
        <v>47</v>
      </c>
      <c r="E33">
        <v>10</v>
      </c>
      <c r="F33">
        <v>13.39</v>
      </c>
      <c r="G33">
        <v>133.9</v>
      </c>
    </row>
    <row r="34" spans="1:7">
      <c r="A34" s="1" t="s">
        <v>61</v>
      </c>
      <c r="B34" s="1" t="s">
        <v>12</v>
      </c>
      <c r="C34" s="1" t="s">
        <v>46</v>
      </c>
      <c r="D34" s="1" t="s">
        <v>47</v>
      </c>
      <c r="E34">
        <v>67</v>
      </c>
      <c r="F34">
        <v>9.56</v>
      </c>
      <c r="G34">
        <v>640.52</v>
      </c>
    </row>
    <row r="35" spans="1:7">
      <c r="A35" s="1" t="s">
        <v>62</v>
      </c>
      <c r="B35" s="1" t="s">
        <v>8</v>
      </c>
      <c r="C35" s="1" t="s">
        <v>17</v>
      </c>
      <c r="D35" s="1" t="s">
        <v>24</v>
      </c>
      <c r="E35">
        <v>196</v>
      </c>
      <c r="F35">
        <v>15.16</v>
      </c>
      <c r="G35">
        <v>2971.36</v>
      </c>
    </row>
    <row r="36" spans="1:7">
      <c r="A36" s="1" t="s">
        <v>63</v>
      </c>
      <c r="B36" s="1" t="s">
        <v>19</v>
      </c>
      <c r="C36" s="1" t="s">
        <v>60</v>
      </c>
      <c r="D36" s="1" t="s">
        <v>47</v>
      </c>
      <c r="E36">
        <v>95</v>
      </c>
      <c r="F36">
        <v>4.82</v>
      </c>
      <c r="G36">
        <v>457.9</v>
      </c>
    </row>
    <row r="37" spans="1:7">
      <c r="A37" s="1" t="s">
        <v>55</v>
      </c>
      <c r="B37" s="1" t="s">
        <v>22</v>
      </c>
      <c r="C37" s="1" t="s">
        <v>9</v>
      </c>
      <c r="D37" s="1" t="s">
        <v>38</v>
      </c>
      <c r="E37">
        <v>96</v>
      </c>
      <c r="F37">
        <v>5.38</v>
      </c>
      <c r="G37">
        <v>516.48</v>
      </c>
    </row>
    <row r="38" spans="1:7">
      <c r="A38" s="1" t="s">
        <v>64</v>
      </c>
      <c r="B38" s="1" t="s">
        <v>16</v>
      </c>
      <c r="C38" s="1" t="s">
        <v>40</v>
      </c>
      <c r="D38" s="1" t="s">
        <v>10</v>
      </c>
      <c r="E38">
        <v>199</v>
      </c>
      <c r="F38">
        <v>6.83</v>
      </c>
      <c r="G38">
        <v>1359.17</v>
      </c>
    </row>
    <row r="39" spans="1:7">
      <c r="A39" s="1" t="s">
        <v>65</v>
      </c>
      <c r="B39" s="1" t="s">
        <v>22</v>
      </c>
      <c r="C39" s="1" t="s">
        <v>23</v>
      </c>
      <c r="D39" s="1" t="s">
        <v>47</v>
      </c>
      <c r="E39">
        <v>135</v>
      </c>
      <c r="F39">
        <v>16.309999999999999</v>
      </c>
      <c r="G39">
        <v>2201.85</v>
      </c>
    </row>
    <row r="40" spans="1:7">
      <c r="A40" s="1" t="s">
        <v>66</v>
      </c>
      <c r="B40" s="1" t="s">
        <v>16</v>
      </c>
      <c r="C40" s="1" t="s">
        <v>46</v>
      </c>
      <c r="D40" s="1" t="s">
        <v>20</v>
      </c>
      <c r="E40">
        <v>126</v>
      </c>
      <c r="F40">
        <v>15.72</v>
      </c>
      <c r="G40">
        <v>1980.72</v>
      </c>
    </row>
    <row r="41" spans="1:7">
      <c r="A41" s="1" t="s">
        <v>41</v>
      </c>
      <c r="B41" s="1" t="s">
        <v>16</v>
      </c>
      <c r="C41" s="1" t="s">
        <v>26</v>
      </c>
      <c r="D41" s="1" t="s">
        <v>10</v>
      </c>
      <c r="E41">
        <v>175</v>
      </c>
      <c r="F41">
        <v>13.61</v>
      </c>
      <c r="G41">
        <v>2381.75</v>
      </c>
    </row>
    <row r="42" spans="1:7">
      <c r="A42" s="1" t="s">
        <v>67</v>
      </c>
      <c r="B42" s="1" t="s">
        <v>16</v>
      </c>
      <c r="C42" s="1" t="s">
        <v>40</v>
      </c>
      <c r="D42" s="1" t="s">
        <v>38</v>
      </c>
      <c r="E42">
        <v>137</v>
      </c>
      <c r="F42">
        <v>14.06</v>
      </c>
      <c r="G42">
        <v>1926.22</v>
      </c>
    </row>
    <row r="43" spans="1:7">
      <c r="A43" s="1" t="s">
        <v>68</v>
      </c>
      <c r="B43" s="1" t="s">
        <v>12</v>
      </c>
      <c r="C43" s="1" t="s">
        <v>46</v>
      </c>
      <c r="D43" s="1" t="s">
        <v>43</v>
      </c>
      <c r="E43">
        <v>190</v>
      </c>
      <c r="F43">
        <v>10.53</v>
      </c>
      <c r="G43">
        <v>2000.7</v>
      </c>
    </row>
    <row r="44" spans="1:7">
      <c r="A44" s="1" t="s">
        <v>69</v>
      </c>
      <c r="B44" s="1" t="s">
        <v>19</v>
      </c>
      <c r="C44" s="1" t="s">
        <v>17</v>
      </c>
      <c r="D44" s="1" t="s">
        <v>47</v>
      </c>
      <c r="E44">
        <v>131</v>
      </c>
      <c r="F44">
        <v>17.510000000000002</v>
      </c>
      <c r="G44">
        <v>2293.81</v>
      </c>
    </row>
    <row r="45" spans="1:7">
      <c r="A45" s="1" t="s">
        <v>34</v>
      </c>
      <c r="B45" s="1" t="s">
        <v>16</v>
      </c>
      <c r="C45" s="1" t="s">
        <v>32</v>
      </c>
      <c r="D45" s="1" t="s">
        <v>24</v>
      </c>
      <c r="E45">
        <v>92</v>
      </c>
      <c r="F45">
        <v>9.52</v>
      </c>
      <c r="G45">
        <v>875.84</v>
      </c>
    </row>
    <row r="46" spans="1:7">
      <c r="A46" s="1" t="s">
        <v>70</v>
      </c>
      <c r="B46" s="1" t="s">
        <v>8</v>
      </c>
      <c r="C46" s="1" t="s">
        <v>13</v>
      </c>
      <c r="D46" s="1" t="s">
        <v>38</v>
      </c>
      <c r="E46">
        <v>99</v>
      </c>
      <c r="F46">
        <v>9.5299999999999994</v>
      </c>
      <c r="G46">
        <v>943.47</v>
      </c>
    </row>
    <row r="47" spans="1:7">
      <c r="A47" s="1" t="s">
        <v>71</v>
      </c>
      <c r="B47" s="1" t="s">
        <v>16</v>
      </c>
      <c r="C47" s="1" t="s">
        <v>60</v>
      </c>
      <c r="D47" s="1" t="s">
        <v>33</v>
      </c>
      <c r="E47">
        <v>26</v>
      </c>
      <c r="F47">
        <v>17.14</v>
      </c>
      <c r="G47">
        <v>445.64</v>
      </c>
    </row>
    <row r="48" spans="1:7">
      <c r="A48" s="1" t="s">
        <v>72</v>
      </c>
      <c r="B48" s="1" t="s">
        <v>22</v>
      </c>
      <c r="C48" s="1" t="s">
        <v>13</v>
      </c>
      <c r="D48" s="1" t="s">
        <v>35</v>
      </c>
      <c r="E48">
        <v>174</v>
      </c>
      <c r="F48">
        <v>15.85</v>
      </c>
      <c r="G48">
        <v>2757.9</v>
      </c>
    </row>
    <row r="49" spans="1:7">
      <c r="A49" s="1" t="s">
        <v>73</v>
      </c>
      <c r="B49" s="1" t="s">
        <v>12</v>
      </c>
      <c r="C49" s="1" t="s">
        <v>60</v>
      </c>
      <c r="D49" s="1" t="s">
        <v>33</v>
      </c>
      <c r="E49">
        <v>188</v>
      </c>
      <c r="F49">
        <v>4.0599999999999996</v>
      </c>
      <c r="G49">
        <v>763.28</v>
      </c>
    </row>
    <row r="50" spans="1:7">
      <c r="A50" s="1" t="s">
        <v>74</v>
      </c>
      <c r="B50" s="1" t="s">
        <v>19</v>
      </c>
      <c r="C50" s="1" t="s">
        <v>23</v>
      </c>
      <c r="D50" s="1" t="s">
        <v>35</v>
      </c>
      <c r="E50">
        <v>94</v>
      </c>
      <c r="F50">
        <v>4.74</v>
      </c>
      <c r="G50">
        <v>445.56</v>
      </c>
    </row>
    <row r="51" spans="1:7">
      <c r="A51" s="1" t="s">
        <v>75</v>
      </c>
      <c r="B51" s="1" t="s">
        <v>19</v>
      </c>
      <c r="C51" s="1" t="s">
        <v>9</v>
      </c>
      <c r="D51" s="1" t="s">
        <v>38</v>
      </c>
      <c r="E51">
        <v>13</v>
      </c>
      <c r="F51">
        <v>17.84</v>
      </c>
      <c r="G51">
        <v>231.92</v>
      </c>
    </row>
    <row r="52" spans="1:7">
      <c r="A52" s="1" t="s">
        <v>76</v>
      </c>
      <c r="B52" s="1" t="s">
        <v>16</v>
      </c>
      <c r="C52" s="1" t="s">
        <v>23</v>
      </c>
      <c r="D52" s="1" t="s">
        <v>77</v>
      </c>
      <c r="E52">
        <v>102</v>
      </c>
      <c r="F52">
        <v>3.01</v>
      </c>
      <c r="G52">
        <v>307.02</v>
      </c>
    </row>
    <row r="53" spans="1:7">
      <c r="A53" s="1" t="s">
        <v>78</v>
      </c>
      <c r="B53" s="1" t="s">
        <v>8</v>
      </c>
      <c r="C53" s="1" t="s">
        <v>13</v>
      </c>
      <c r="D53" s="1" t="s">
        <v>35</v>
      </c>
      <c r="E53">
        <v>80</v>
      </c>
      <c r="F53">
        <v>4.8</v>
      </c>
      <c r="G53">
        <v>384</v>
      </c>
    </row>
    <row r="54" spans="1:7">
      <c r="A54" s="1" t="s">
        <v>79</v>
      </c>
      <c r="B54" s="1" t="s">
        <v>16</v>
      </c>
      <c r="C54" s="1" t="s">
        <v>52</v>
      </c>
      <c r="D54" s="1" t="s">
        <v>20</v>
      </c>
      <c r="E54">
        <v>47</v>
      </c>
      <c r="F54">
        <v>5.15</v>
      </c>
      <c r="G54">
        <v>242.05</v>
      </c>
    </row>
    <row r="55" spans="1:7">
      <c r="A55" s="1" t="s">
        <v>80</v>
      </c>
      <c r="B55" s="1" t="s">
        <v>8</v>
      </c>
      <c r="C55" s="1" t="s">
        <v>46</v>
      </c>
      <c r="D55" s="1" t="s">
        <v>24</v>
      </c>
      <c r="E55">
        <v>144</v>
      </c>
      <c r="F55">
        <v>2.52</v>
      </c>
      <c r="G55">
        <v>362.88</v>
      </c>
    </row>
    <row r="56" spans="1:7">
      <c r="A56" s="1" t="s">
        <v>54</v>
      </c>
      <c r="B56" s="1" t="s">
        <v>8</v>
      </c>
      <c r="C56" s="1" t="s">
        <v>32</v>
      </c>
      <c r="D56" s="1" t="s">
        <v>10</v>
      </c>
      <c r="E56">
        <v>200</v>
      </c>
      <c r="F56">
        <v>8.3800000000000008</v>
      </c>
      <c r="G56">
        <v>1676</v>
      </c>
    </row>
    <row r="57" spans="1:7">
      <c r="A57" s="1" t="s">
        <v>81</v>
      </c>
      <c r="B57" s="1" t="s">
        <v>12</v>
      </c>
      <c r="C57" s="1" t="s">
        <v>46</v>
      </c>
      <c r="D57" s="1" t="s">
        <v>77</v>
      </c>
      <c r="E57">
        <v>73</v>
      </c>
      <c r="F57">
        <v>9.25</v>
      </c>
      <c r="G57">
        <v>675.25</v>
      </c>
    </row>
    <row r="58" spans="1:7">
      <c r="A58" s="1" t="s">
        <v>56</v>
      </c>
      <c r="B58" s="1" t="s">
        <v>12</v>
      </c>
      <c r="C58" s="1" t="s">
        <v>17</v>
      </c>
      <c r="D58" s="1" t="s">
        <v>77</v>
      </c>
      <c r="E58">
        <v>48</v>
      </c>
      <c r="F58">
        <v>11.4</v>
      </c>
      <c r="G58">
        <v>547.20000000000005</v>
      </c>
    </row>
    <row r="59" spans="1:7">
      <c r="A59" s="1" t="s">
        <v>82</v>
      </c>
      <c r="B59" s="1" t="s">
        <v>8</v>
      </c>
      <c r="C59" s="1" t="s">
        <v>26</v>
      </c>
      <c r="D59" s="1" t="s">
        <v>20</v>
      </c>
      <c r="E59">
        <v>116</v>
      </c>
      <c r="F59">
        <v>17.47</v>
      </c>
      <c r="G59">
        <v>2026.52</v>
      </c>
    </row>
    <row r="60" spans="1:7">
      <c r="A60" s="1" t="s">
        <v>83</v>
      </c>
      <c r="B60" s="1" t="s">
        <v>19</v>
      </c>
      <c r="C60" s="1" t="s">
        <v>26</v>
      </c>
      <c r="D60" s="1" t="s">
        <v>24</v>
      </c>
      <c r="E60">
        <v>59</v>
      </c>
      <c r="F60">
        <v>12.42</v>
      </c>
      <c r="G60">
        <v>732.78</v>
      </c>
    </row>
    <row r="61" spans="1:7">
      <c r="A61" s="1" t="s">
        <v>84</v>
      </c>
      <c r="B61" s="1" t="s">
        <v>12</v>
      </c>
      <c r="C61" s="1" t="s">
        <v>9</v>
      </c>
      <c r="D61" s="1" t="s">
        <v>20</v>
      </c>
      <c r="E61">
        <v>192</v>
      </c>
      <c r="F61">
        <v>9.56</v>
      </c>
      <c r="G61">
        <v>1835.52</v>
      </c>
    </row>
    <row r="62" spans="1:7">
      <c r="A62" s="1" t="s">
        <v>85</v>
      </c>
      <c r="B62" s="1" t="s">
        <v>22</v>
      </c>
      <c r="C62" s="1" t="s">
        <v>60</v>
      </c>
      <c r="D62" s="1" t="s">
        <v>33</v>
      </c>
      <c r="E62">
        <v>55</v>
      </c>
      <c r="F62">
        <v>18.73</v>
      </c>
      <c r="G62">
        <v>1030.1500000000001</v>
      </c>
    </row>
    <row r="63" spans="1:7">
      <c r="A63" s="1" t="s">
        <v>86</v>
      </c>
      <c r="B63" s="1" t="s">
        <v>12</v>
      </c>
      <c r="C63" s="1" t="s">
        <v>23</v>
      </c>
      <c r="D63" s="1" t="s">
        <v>38</v>
      </c>
      <c r="E63">
        <v>40</v>
      </c>
      <c r="F63">
        <v>5.54</v>
      </c>
      <c r="G63">
        <v>221.6</v>
      </c>
    </row>
    <row r="64" spans="1:7">
      <c r="A64" s="1" t="s">
        <v>87</v>
      </c>
      <c r="B64" s="1" t="s">
        <v>19</v>
      </c>
      <c r="C64" s="1" t="s">
        <v>32</v>
      </c>
      <c r="D64" s="1" t="s">
        <v>43</v>
      </c>
      <c r="E64">
        <v>192</v>
      </c>
      <c r="F64">
        <v>8.32</v>
      </c>
      <c r="G64">
        <v>1597.44</v>
      </c>
    </row>
    <row r="65" spans="1:7">
      <c r="A65" s="1" t="s">
        <v>88</v>
      </c>
      <c r="B65" s="1" t="s">
        <v>16</v>
      </c>
      <c r="C65" s="1" t="s">
        <v>23</v>
      </c>
      <c r="D65" s="1" t="s">
        <v>38</v>
      </c>
      <c r="E65">
        <v>114</v>
      </c>
      <c r="F65">
        <v>11.79</v>
      </c>
      <c r="G65">
        <v>1344.06</v>
      </c>
    </row>
    <row r="66" spans="1:7">
      <c r="A66" s="1" t="s">
        <v>89</v>
      </c>
      <c r="B66" s="1" t="s">
        <v>22</v>
      </c>
      <c r="C66" s="1" t="s">
        <v>60</v>
      </c>
      <c r="D66" s="1" t="s">
        <v>24</v>
      </c>
      <c r="E66">
        <v>139</v>
      </c>
      <c r="F66">
        <v>7.09</v>
      </c>
      <c r="G66">
        <v>985.51</v>
      </c>
    </row>
    <row r="67" spans="1:7">
      <c r="A67" s="1" t="s">
        <v>11</v>
      </c>
      <c r="B67" s="1" t="s">
        <v>22</v>
      </c>
      <c r="C67" s="1" t="s">
        <v>52</v>
      </c>
      <c r="D67" s="1" t="s">
        <v>10</v>
      </c>
      <c r="E67">
        <v>30</v>
      </c>
      <c r="F67">
        <v>2.2599999999999998</v>
      </c>
      <c r="G67">
        <v>67.8</v>
      </c>
    </row>
    <row r="68" spans="1:7">
      <c r="A68" s="1" t="s">
        <v>90</v>
      </c>
      <c r="B68" s="1" t="s">
        <v>8</v>
      </c>
      <c r="C68" s="1" t="s">
        <v>26</v>
      </c>
      <c r="D68" s="1" t="s">
        <v>24</v>
      </c>
      <c r="E68">
        <v>132</v>
      </c>
      <c r="F68">
        <v>10.55</v>
      </c>
      <c r="G68">
        <v>1392.6</v>
      </c>
    </row>
    <row r="69" spans="1:7">
      <c r="A69" s="1" t="s">
        <v>91</v>
      </c>
      <c r="B69" s="1" t="s">
        <v>16</v>
      </c>
      <c r="C69" s="1" t="s">
        <v>26</v>
      </c>
      <c r="D69" s="1" t="s">
        <v>35</v>
      </c>
      <c r="E69">
        <v>189</v>
      </c>
      <c r="F69">
        <v>11.88</v>
      </c>
      <c r="G69">
        <v>2245.3200000000002</v>
      </c>
    </row>
    <row r="70" spans="1:7">
      <c r="A70" s="1" t="s">
        <v>92</v>
      </c>
      <c r="B70" s="1" t="s">
        <v>8</v>
      </c>
      <c r="C70" s="1" t="s">
        <v>9</v>
      </c>
      <c r="D70" s="1" t="s">
        <v>47</v>
      </c>
      <c r="E70">
        <v>199</v>
      </c>
      <c r="F70">
        <v>7.77</v>
      </c>
      <c r="G70">
        <v>1546.23</v>
      </c>
    </row>
    <row r="71" spans="1:7">
      <c r="A71" s="1" t="s">
        <v>50</v>
      </c>
      <c r="B71" s="1" t="s">
        <v>22</v>
      </c>
      <c r="C71" s="1" t="s">
        <v>32</v>
      </c>
      <c r="D71" s="1" t="s">
        <v>14</v>
      </c>
      <c r="E71">
        <v>36</v>
      </c>
      <c r="F71">
        <v>6.09</v>
      </c>
      <c r="G71">
        <v>219.24</v>
      </c>
    </row>
    <row r="72" spans="1:7">
      <c r="A72" s="1" t="s">
        <v>93</v>
      </c>
      <c r="B72" s="1" t="s">
        <v>22</v>
      </c>
      <c r="C72" s="1" t="s">
        <v>40</v>
      </c>
      <c r="D72" s="1" t="s">
        <v>77</v>
      </c>
      <c r="E72">
        <v>179</v>
      </c>
      <c r="F72">
        <v>6.04</v>
      </c>
      <c r="G72">
        <v>1081.1600000000001</v>
      </c>
    </row>
    <row r="73" spans="1:7">
      <c r="A73" s="1" t="s">
        <v>94</v>
      </c>
      <c r="B73" s="1" t="s">
        <v>22</v>
      </c>
      <c r="C73" s="1" t="s">
        <v>9</v>
      </c>
      <c r="D73" s="1" t="s">
        <v>33</v>
      </c>
      <c r="E73">
        <v>51</v>
      </c>
      <c r="F73">
        <v>18.239999999999998</v>
      </c>
      <c r="G73">
        <v>930.24</v>
      </c>
    </row>
    <row r="74" spans="1:7">
      <c r="A74" s="1" t="s">
        <v>95</v>
      </c>
      <c r="B74" s="1" t="s">
        <v>22</v>
      </c>
      <c r="C74" s="1" t="s">
        <v>23</v>
      </c>
      <c r="D74" s="1" t="s">
        <v>77</v>
      </c>
      <c r="E74">
        <v>164</v>
      </c>
      <c r="F74">
        <v>16.13</v>
      </c>
      <c r="G74">
        <v>2645.32</v>
      </c>
    </row>
    <row r="75" spans="1:7">
      <c r="A75" s="1" t="s">
        <v>96</v>
      </c>
      <c r="B75" s="1" t="s">
        <v>12</v>
      </c>
      <c r="C75" s="1" t="s">
        <v>9</v>
      </c>
      <c r="D75" s="1" t="s">
        <v>47</v>
      </c>
      <c r="E75">
        <v>77</v>
      </c>
      <c r="F75">
        <v>10.66</v>
      </c>
      <c r="G75">
        <v>820.82</v>
      </c>
    </row>
    <row r="76" spans="1:7">
      <c r="A76" s="1" t="s">
        <v>97</v>
      </c>
      <c r="B76" s="1" t="s">
        <v>22</v>
      </c>
      <c r="C76" s="1" t="s">
        <v>52</v>
      </c>
      <c r="D76" s="1" t="s">
        <v>35</v>
      </c>
      <c r="E76">
        <v>96</v>
      </c>
      <c r="F76">
        <v>17.63</v>
      </c>
      <c r="G76">
        <v>1692.48</v>
      </c>
    </row>
    <row r="77" spans="1:7">
      <c r="A77" s="1" t="s">
        <v>98</v>
      </c>
      <c r="B77" s="1" t="s">
        <v>16</v>
      </c>
      <c r="C77" s="1" t="s">
        <v>46</v>
      </c>
      <c r="D77" s="1" t="s">
        <v>24</v>
      </c>
      <c r="E77">
        <v>96</v>
      </c>
      <c r="F77">
        <v>11.13</v>
      </c>
      <c r="G77">
        <v>1068.48</v>
      </c>
    </row>
    <row r="78" spans="1:7">
      <c r="A78" s="1" t="s">
        <v>99</v>
      </c>
      <c r="B78" s="1" t="s">
        <v>12</v>
      </c>
      <c r="C78" s="1" t="s">
        <v>32</v>
      </c>
      <c r="D78" s="1" t="s">
        <v>14</v>
      </c>
      <c r="E78">
        <v>103</v>
      </c>
      <c r="F78">
        <v>1.63</v>
      </c>
      <c r="G78">
        <v>167.89</v>
      </c>
    </row>
    <row r="79" spans="1:7">
      <c r="A79" s="1" t="s">
        <v>100</v>
      </c>
      <c r="B79" s="1" t="s">
        <v>8</v>
      </c>
      <c r="C79" s="1" t="s">
        <v>52</v>
      </c>
      <c r="D79" s="1" t="s">
        <v>20</v>
      </c>
      <c r="E79">
        <v>124</v>
      </c>
      <c r="F79">
        <v>8.2200000000000006</v>
      </c>
      <c r="G79">
        <v>1019.28</v>
      </c>
    </row>
    <row r="80" spans="1:7">
      <c r="A80" s="1" t="s">
        <v>101</v>
      </c>
      <c r="B80" s="1" t="s">
        <v>16</v>
      </c>
      <c r="C80" s="1" t="s">
        <v>26</v>
      </c>
      <c r="D80" s="1" t="s">
        <v>43</v>
      </c>
      <c r="E80">
        <v>124</v>
      </c>
      <c r="F80">
        <v>9.2899999999999991</v>
      </c>
      <c r="G80">
        <v>1151.96</v>
      </c>
    </row>
    <row r="81" spans="1:7">
      <c r="A81" s="1" t="s">
        <v>102</v>
      </c>
      <c r="B81" s="1" t="s">
        <v>12</v>
      </c>
      <c r="C81" s="1" t="s">
        <v>60</v>
      </c>
      <c r="D81" s="1" t="s">
        <v>35</v>
      </c>
      <c r="E81">
        <v>140</v>
      </c>
      <c r="F81">
        <v>15</v>
      </c>
      <c r="G81">
        <v>2100</v>
      </c>
    </row>
    <row r="82" spans="1:7">
      <c r="A82" s="1" t="s">
        <v>103</v>
      </c>
      <c r="B82" s="1" t="s">
        <v>19</v>
      </c>
      <c r="C82" s="1" t="s">
        <v>26</v>
      </c>
      <c r="D82" s="1" t="s">
        <v>77</v>
      </c>
      <c r="E82">
        <v>135</v>
      </c>
      <c r="F82">
        <v>6.93</v>
      </c>
      <c r="G82">
        <v>935.55</v>
      </c>
    </row>
    <row r="83" spans="1:7">
      <c r="A83" s="1" t="s">
        <v>96</v>
      </c>
      <c r="B83" s="1" t="s">
        <v>16</v>
      </c>
      <c r="C83" s="1" t="s">
        <v>26</v>
      </c>
      <c r="D83" s="1" t="s">
        <v>14</v>
      </c>
      <c r="E83">
        <v>180</v>
      </c>
      <c r="F83">
        <v>12.5</v>
      </c>
      <c r="G83">
        <v>2250</v>
      </c>
    </row>
    <row r="84" spans="1:7">
      <c r="A84" s="1" t="s">
        <v>104</v>
      </c>
      <c r="B84" s="1" t="s">
        <v>8</v>
      </c>
      <c r="C84" s="1" t="s">
        <v>60</v>
      </c>
      <c r="D84" s="1" t="s">
        <v>43</v>
      </c>
      <c r="E84">
        <v>54</v>
      </c>
      <c r="F84">
        <v>1.45</v>
      </c>
      <c r="G84">
        <v>78.3</v>
      </c>
    </row>
    <row r="85" spans="1:7">
      <c r="A85" s="1" t="s">
        <v>105</v>
      </c>
      <c r="B85" s="1" t="s">
        <v>12</v>
      </c>
      <c r="C85" s="1" t="s">
        <v>26</v>
      </c>
      <c r="D85" s="1" t="s">
        <v>24</v>
      </c>
      <c r="E85">
        <v>100</v>
      </c>
      <c r="F85">
        <v>2.42</v>
      </c>
      <c r="G85">
        <v>242</v>
      </c>
    </row>
    <row r="86" spans="1:7">
      <c r="A86" s="1" t="s">
        <v>106</v>
      </c>
      <c r="B86" s="1" t="s">
        <v>12</v>
      </c>
      <c r="C86" s="1" t="s">
        <v>17</v>
      </c>
      <c r="D86" s="1" t="s">
        <v>24</v>
      </c>
      <c r="E86">
        <v>117</v>
      </c>
      <c r="F86">
        <v>7.69</v>
      </c>
      <c r="G86">
        <v>899.73</v>
      </c>
    </row>
    <row r="87" spans="1:7">
      <c r="A87" s="1" t="s">
        <v>107</v>
      </c>
      <c r="B87" s="1" t="s">
        <v>8</v>
      </c>
      <c r="C87" s="1" t="s">
        <v>26</v>
      </c>
      <c r="D87" s="1" t="s">
        <v>35</v>
      </c>
      <c r="E87">
        <v>82</v>
      </c>
      <c r="F87">
        <v>15.88</v>
      </c>
      <c r="G87">
        <v>1302.1600000000001</v>
      </c>
    </row>
    <row r="88" spans="1:7">
      <c r="A88" s="1" t="s">
        <v>108</v>
      </c>
      <c r="B88" s="1" t="s">
        <v>12</v>
      </c>
      <c r="C88" s="1" t="s">
        <v>32</v>
      </c>
      <c r="D88" s="1" t="s">
        <v>47</v>
      </c>
      <c r="E88">
        <v>121</v>
      </c>
      <c r="F88">
        <v>11.82</v>
      </c>
      <c r="G88">
        <v>1430.22</v>
      </c>
    </row>
    <row r="89" spans="1:7">
      <c r="A89" s="1" t="s">
        <v>109</v>
      </c>
      <c r="B89" s="1" t="s">
        <v>16</v>
      </c>
      <c r="C89" s="1" t="s">
        <v>52</v>
      </c>
      <c r="D89" s="1" t="s">
        <v>33</v>
      </c>
      <c r="E89">
        <v>81</v>
      </c>
      <c r="F89">
        <v>10.9</v>
      </c>
      <c r="G89">
        <v>882.9</v>
      </c>
    </row>
    <row r="90" spans="1:7">
      <c r="A90" s="1" t="s">
        <v>110</v>
      </c>
      <c r="B90" s="1" t="s">
        <v>12</v>
      </c>
      <c r="C90" s="1" t="s">
        <v>40</v>
      </c>
      <c r="D90" s="1" t="s">
        <v>77</v>
      </c>
      <c r="E90">
        <v>75</v>
      </c>
      <c r="F90">
        <v>6.68</v>
      </c>
      <c r="G90">
        <v>501</v>
      </c>
    </row>
    <row r="91" spans="1:7">
      <c r="A91" s="1" t="s">
        <v>111</v>
      </c>
      <c r="B91" s="1" t="s">
        <v>12</v>
      </c>
      <c r="C91" s="1" t="s">
        <v>17</v>
      </c>
      <c r="D91" s="1" t="s">
        <v>24</v>
      </c>
      <c r="E91">
        <v>20</v>
      </c>
      <c r="F91">
        <v>11.82</v>
      </c>
      <c r="G91">
        <v>236.4</v>
      </c>
    </row>
    <row r="92" spans="1:7">
      <c r="A92" s="1" t="s">
        <v>112</v>
      </c>
      <c r="B92" s="1" t="s">
        <v>19</v>
      </c>
      <c r="C92" s="1" t="s">
        <v>17</v>
      </c>
      <c r="D92" s="1" t="s">
        <v>35</v>
      </c>
      <c r="E92">
        <v>145</v>
      </c>
      <c r="F92">
        <v>14.3</v>
      </c>
      <c r="G92">
        <v>2073.5</v>
      </c>
    </row>
    <row r="93" spans="1:7">
      <c r="A93" s="1" t="s">
        <v>80</v>
      </c>
      <c r="B93" s="1" t="s">
        <v>22</v>
      </c>
      <c r="C93" s="1" t="s">
        <v>40</v>
      </c>
      <c r="D93" s="1" t="s">
        <v>38</v>
      </c>
      <c r="E93">
        <v>91</v>
      </c>
      <c r="F93">
        <v>15.42</v>
      </c>
      <c r="G93">
        <v>1403.22</v>
      </c>
    </row>
    <row r="94" spans="1:7">
      <c r="A94" s="1" t="s">
        <v>113</v>
      </c>
      <c r="B94" s="1" t="s">
        <v>22</v>
      </c>
      <c r="C94" s="1" t="s">
        <v>52</v>
      </c>
      <c r="D94" s="1" t="s">
        <v>33</v>
      </c>
      <c r="E94">
        <v>79</v>
      </c>
      <c r="F94">
        <v>9.58</v>
      </c>
      <c r="G94">
        <v>756.82</v>
      </c>
    </row>
    <row r="95" spans="1:7">
      <c r="A95" s="1" t="s">
        <v>114</v>
      </c>
      <c r="B95" s="1" t="s">
        <v>8</v>
      </c>
      <c r="C95" s="1" t="s">
        <v>9</v>
      </c>
      <c r="D95" s="1" t="s">
        <v>14</v>
      </c>
      <c r="E95">
        <v>177</v>
      </c>
      <c r="F95">
        <v>8.9499999999999993</v>
      </c>
      <c r="G95">
        <v>1584.15</v>
      </c>
    </row>
    <row r="96" spans="1:7">
      <c r="A96" s="1" t="s">
        <v>115</v>
      </c>
      <c r="B96" s="1" t="s">
        <v>22</v>
      </c>
      <c r="C96" s="1" t="s">
        <v>9</v>
      </c>
      <c r="D96" s="1" t="s">
        <v>47</v>
      </c>
      <c r="E96">
        <v>169</v>
      </c>
      <c r="F96">
        <v>18.62</v>
      </c>
      <c r="G96">
        <v>3146.78</v>
      </c>
    </row>
    <row r="97" spans="1:7">
      <c r="A97" s="1" t="s">
        <v>116</v>
      </c>
      <c r="B97" s="1" t="s">
        <v>12</v>
      </c>
      <c r="C97" s="1" t="s">
        <v>9</v>
      </c>
      <c r="D97" s="1" t="s">
        <v>43</v>
      </c>
      <c r="E97">
        <v>103</v>
      </c>
      <c r="F97">
        <v>3.74</v>
      </c>
      <c r="G97">
        <v>385.22</v>
      </c>
    </row>
    <row r="98" spans="1:7">
      <c r="A98" s="1" t="s">
        <v>117</v>
      </c>
      <c r="B98" s="1" t="s">
        <v>22</v>
      </c>
      <c r="C98" s="1" t="s">
        <v>60</v>
      </c>
      <c r="D98" s="1" t="s">
        <v>43</v>
      </c>
      <c r="E98">
        <v>67</v>
      </c>
      <c r="F98">
        <v>12.98</v>
      </c>
      <c r="G98">
        <v>869.66</v>
      </c>
    </row>
    <row r="99" spans="1:7">
      <c r="A99" s="1" t="s">
        <v>67</v>
      </c>
      <c r="B99" s="1" t="s">
        <v>16</v>
      </c>
      <c r="C99" s="1" t="s">
        <v>32</v>
      </c>
      <c r="D99" s="1" t="s">
        <v>35</v>
      </c>
      <c r="E99">
        <v>148</v>
      </c>
      <c r="F99">
        <v>2.71</v>
      </c>
      <c r="G99">
        <v>401.08</v>
      </c>
    </row>
    <row r="100" spans="1:7">
      <c r="A100" s="1" t="s">
        <v>118</v>
      </c>
      <c r="B100" s="1" t="s">
        <v>8</v>
      </c>
      <c r="C100" s="1" t="s">
        <v>52</v>
      </c>
      <c r="D100" s="1" t="s">
        <v>35</v>
      </c>
      <c r="E100">
        <v>184</v>
      </c>
      <c r="F100">
        <v>4.3</v>
      </c>
      <c r="G100">
        <v>791.2</v>
      </c>
    </row>
    <row r="101" spans="1:7">
      <c r="A101" s="1" t="s">
        <v>119</v>
      </c>
      <c r="B101" s="1" t="s">
        <v>19</v>
      </c>
      <c r="C101" s="1" t="s">
        <v>40</v>
      </c>
      <c r="D101" s="1" t="s">
        <v>77</v>
      </c>
      <c r="E101">
        <v>20</v>
      </c>
      <c r="F101">
        <v>10.199999999999999</v>
      </c>
      <c r="G101">
        <v>204</v>
      </c>
    </row>
    <row r="102" spans="1:7">
      <c r="A102" s="1" t="s">
        <v>120</v>
      </c>
      <c r="B102" s="1" t="s">
        <v>19</v>
      </c>
      <c r="C102" s="1" t="s">
        <v>13</v>
      </c>
      <c r="D102" s="1" t="s">
        <v>43</v>
      </c>
      <c r="E102">
        <v>114</v>
      </c>
      <c r="F102">
        <v>9.08</v>
      </c>
      <c r="G102">
        <v>1035.1199999999999</v>
      </c>
    </row>
    <row r="103" spans="1:7">
      <c r="A103" s="1" t="s">
        <v>121</v>
      </c>
      <c r="B103" s="1" t="s">
        <v>12</v>
      </c>
      <c r="C103" s="1" t="s">
        <v>9</v>
      </c>
      <c r="D103" s="1" t="s">
        <v>38</v>
      </c>
      <c r="E103">
        <v>56</v>
      </c>
      <c r="F103">
        <v>18.920000000000002</v>
      </c>
      <c r="G103">
        <v>1059.52</v>
      </c>
    </row>
    <row r="104" spans="1:7">
      <c r="A104" s="1" t="s">
        <v>122</v>
      </c>
      <c r="B104" s="1" t="s">
        <v>12</v>
      </c>
      <c r="C104" s="1" t="s">
        <v>13</v>
      </c>
      <c r="D104" s="1" t="s">
        <v>20</v>
      </c>
      <c r="E104">
        <v>65</v>
      </c>
      <c r="F104">
        <v>9.36</v>
      </c>
      <c r="G104">
        <v>608.4</v>
      </c>
    </row>
    <row r="105" spans="1:7">
      <c r="A105" s="1" t="s">
        <v>123</v>
      </c>
      <c r="B105" s="1" t="s">
        <v>19</v>
      </c>
      <c r="C105" s="1" t="s">
        <v>17</v>
      </c>
      <c r="D105" s="1" t="s">
        <v>14</v>
      </c>
      <c r="E105">
        <v>59</v>
      </c>
      <c r="F105">
        <v>8.84</v>
      </c>
      <c r="G105">
        <v>521.55999999999995</v>
      </c>
    </row>
    <row r="106" spans="1:7">
      <c r="A106" s="1" t="s">
        <v>124</v>
      </c>
      <c r="B106" s="1" t="s">
        <v>8</v>
      </c>
      <c r="C106" s="1" t="s">
        <v>13</v>
      </c>
      <c r="D106" s="1" t="s">
        <v>33</v>
      </c>
      <c r="E106">
        <v>29</v>
      </c>
      <c r="F106">
        <v>10.53</v>
      </c>
      <c r="G106">
        <v>305.37</v>
      </c>
    </row>
    <row r="107" spans="1:7">
      <c r="A107" s="1" t="s">
        <v>125</v>
      </c>
      <c r="B107" s="1" t="s">
        <v>19</v>
      </c>
      <c r="C107" s="1" t="s">
        <v>40</v>
      </c>
      <c r="D107" s="1" t="s">
        <v>14</v>
      </c>
      <c r="E107">
        <v>46</v>
      </c>
      <c r="F107">
        <v>10.67</v>
      </c>
      <c r="G107">
        <v>490.82</v>
      </c>
    </row>
    <row r="108" spans="1:7">
      <c r="A108" s="1" t="s">
        <v>126</v>
      </c>
      <c r="B108" s="1" t="s">
        <v>22</v>
      </c>
      <c r="C108" s="1" t="s">
        <v>13</v>
      </c>
      <c r="D108" s="1" t="s">
        <v>10</v>
      </c>
      <c r="E108">
        <v>153</v>
      </c>
      <c r="F108">
        <v>4.1399999999999997</v>
      </c>
      <c r="G108">
        <v>633.41999999999996</v>
      </c>
    </row>
    <row r="109" spans="1:7">
      <c r="A109" s="1" t="s">
        <v>127</v>
      </c>
      <c r="B109" s="1" t="s">
        <v>22</v>
      </c>
      <c r="C109" s="1" t="s">
        <v>17</v>
      </c>
      <c r="D109" s="1" t="s">
        <v>10</v>
      </c>
      <c r="E109">
        <v>40</v>
      </c>
      <c r="F109">
        <v>1.27</v>
      </c>
      <c r="G109">
        <v>50.8</v>
      </c>
    </row>
    <row r="110" spans="1:7">
      <c r="A110" s="1" t="s">
        <v>115</v>
      </c>
      <c r="B110" s="1" t="s">
        <v>16</v>
      </c>
      <c r="C110" s="1" t="s">
        <v>9</v>
      </c>
      <c r="D110" s="1" t="s">
        <v>77</v>
      </c>
      <c r="E110">
        <v>30</v>
      </c>
      <c r="F110">
        <v>7.46</v>
      </c>
      <c r="G110">
        <v>223.8</v>
      </c>
    </row>
    <row r="111" spans="1:7">
      <c r="A111" s="1" t="s">
        <v>128</v>
      </c>
      <c r="B111" s="1" t="s">
        <v>16</v>
      </c>
      <c r="C111" s="1" t="s">
        <v>23</v>
      </c>
      <c r="D111" s="1" t="s">
        <v>77</v>
      </c>
      <c r="E111">
        <v>51</v>
      </c>
      <c r="F111">
        <v>15.16</v>
      </c>
      <c r="G111">
        <v>773.16</v>
      </c>
    </row>
    <row r="112" spans="1:7">
      <c r="A112" s="1" t="s">
        <v>129</v>
      </c>
      <c r="B112" s="1" t="s">
        <v>19</v>
      </c>
      <c r="C112" s="1" t="s">
        <v>26</v>
      </c>
      <c r="D112" s="1" t="s">
        <v>33</v>
      </c>
      <c r="E112">
        <v>14</v>
      </c>
      <c r="F112">
        <v>2.37</v>
      </c>
      <c r="G112">
        <v>33.18</v>
      </c>
    </row>
    <row r="113" spans="1:7">
      <c r="A113" s="1" t="s">
        <v>130</v>
      </c>
      <c r="B113" s="1" t="s">
        <v>12</v>
      </c>
      <c r="C113" s="1" t="s">
        <v>13</v>
      </c>
      <c r="D113" s="1" t="s">
        <v>43</v>
      </c>
      <c r="E113">
        <v>116</v>
      </c>
      <c r="F113">
        <v>9.93</v>
      </c>
      <c r="G113">
        <v>1151.8800000000001</v>
      </c>
    </row>
    <row r="114" spans="1:7">
      <c r="A114" s="1" t="s">
        <v>31</v>
      </c>
      <c r="B114" s="1" t="s">
        <v>8</v>
      </c>
      <c r="C114" s="1" t="s">
        <v>9</v>
      </c>
      <c r="D114" s="1" t="s">
        <v>47</v>
      </c>
      <c r="E114">
        <v>196</v>
      </c>
      <c r="F114">
        <v>6.36</v>
      </c>
      <c r="G114">
        <v>1246.56</v>
      </c>
    </row>
    <row r="115" spans="1:7">
      <c r="A115" s="1" t="s">
        <v>131</v>
      </c>
      <c r="B115" s="1" t="s">
        <v>12</v>
      </c>
      <c r="C115" s="1" t="s">
        <v>46</v>
      </c>
      <c r="D115" s="1" t="s">
        <v>24</v>
      </c>
      <c r="E115">
        <v>73</v>
      </c>
      <c r="F115">
        <v>7.35</v>
      </c>
      <c r="G115">
        <v>536.54999999999995</v>
      </c>
    </row>
    <row r="116" spans="1:7">
      <c r="A116" s="1" t="s">
        <v>132</v>
      </c>
      <c r="B116" s="1" t="s">
        <v>19</v>
      </c>
      <c r="C116" s="1" t="s">
        <v>52</v>
      </c>
      <c r="D116" s="1" t="s">
        <v>10</v>
      </c>
      <c r="E116">
        <v>60</v>
      </c>
      <c r="F116">
        <v>2.97</v>
      </c>
      <c r="G116">
        <v>178.2</v>
      </c>
    </row>
    <row r="117" spans="1:7">
      <c r="A117" s="1" t="s">
        <v>133</v>
      </c>
      <c r="B117" s="1" t="s">
        <v>19</v>
      </c>
      <c r="C117" s="1" t="s">
        <v>52</v>
      </c>
      <c r="D117" s="1" t="s">
        <v>43</v>
      </c>
      <c r="E117">
        <v>126</v>
      </c>
      <c r="F117">
        <v>14.23</v>
      </c>
      <c r="G117">
        <v>1792.98</v>
      </c>
    </row>
    <row r="118" spans="1:7">
      <c r="A118" s="1" t="s">
        <v>134</v>
      </c>
      <c r="B118" s="1" t="s">
        <v>19</v>
      </c>
      <c r="C118" s="1" t="s">
        <v>46</v>
      </c>
      <c r="D118" s="1" t="s">
        <v>43</v>
      </c>
      <c r="E118">
        <v>139</v>
      </c>
      <c r="F118">
        <v>6.36</v>
      </c>
      <c r="G118">
        <v>884.04</v>
      </c>
    </row>
    <row r="119" spans="1:7">
      <c r="A119" s="1" t="s">
        <v>104</v>
      </c>
      <c r="B119" s="1" t="s">
        <v>16</v>
      </c>
      <c r="C119" s="1" t="s">
        <v>32</v>
      </c>
      <c r="D119" s="1" t="s">
        <v>33</v>
      </c>
      <c r="E119">
        <v>66</v>
      </c>
      <c r="F119">
        <v>18.07</v>
      </c>
      <c r="G119">
        <v>1192.6199999999999</v>
      </c>
    </row>
    <row r="120" spans="1:7">
      <c r="A120" s="1" t="s">
        <v>135</v>
      </c>
      <c r="B120" s="1" t="s">
        <v>16</v>
      </c>
      <c r="C120" s="1" t="s">
        <v>9</v>
      </c>
      <c r="D120" s="1" t="s">
        <v>24</v>
      </c>
      <c r="E120">
        <v>101</v>
      </c>
      <c r="F120">
        <v>10.67</v>
      </c>
      <c r="G120">
        <v>1077.67</v>
      </c>
    </row>
    <row r="121" spans="1:7">
      <c r="A121" s="1" t="s">
        <v>136</v>
      </c>
      <c r="B121" s="1" t="s">
        <v>16</v>
      </c>
      <c r="C121" s="1" t="s">
        <v>46</v>
      </c>
      <c r="D121" s="1" t="s">
        <v>35</v>
      </c>
      <c r="E121">
        <v>181</v>
      </c>
      <c r="F121">
        <v>18.899999999999999</v>
      </c>
      <c r="G121">
        <v>3420.9</v>
      </c>
    </row>
    <row r="122" spans="1:7">
      <c r="A122" s="1" t="s">
        <v>75</v>
      </c>
      <c r="B122" s="1" t="s">
        <v>16</v>
      </c>
      <c r="C122" s="1" t="s">
        <v>32</v>
      </c>
      <c r="D122" s="1" t="s">
        <v>33</v>
      </c>
      <c r="E122">
        <v>65</v>
      </c>
      <c r="F122">
        <v>5.1100000000000003</v>
      </c>
      <c r="G122">
        <v>332.15</v>
      </c>
    </row>
    <row r="123" spans="1:7">
      <c r="A123" s="1" t="s">
        <v>137</v>
      </c>
      <c r="B123" s="1" t="s">
        <v>8</v>
      </c>
      <c r="C123" s="1" t="s">
        <v>26</v>
      </c>
      <c r="D123" s="1" t="s">
        <v>20</v>
      </c>
      <c r="E123">
        <v>77</v>
      </c>
      <c r="F123">
        <v>7.45</v>
      </c>
      <c r="G123">
        <v>573.65</v>
      </c>
    </row>
    <row r="124" spans="1:7">
      <c r="A124" s="1" t="s">
        <v>137</v>
      </c>
      <c r="B124" s="1" t="s">
        <v>22</v>
      </c>
      <c r="C124" s="1" t="s">
        <v>32</v>
      </c>
      <c r="D124" s="1" t="s">
        <v>77</v>
      </c>
      <c r="E124">
        <v>83</v>
      </c>
      <c r="F124">
        <v>13.5</v>
      </c>
      <c r="G124">
        <v>1120.5</v>
      </c>
    </row>
    <row r="125" spans="1:7">
      <c r="A125" s="1" t="s">
        <v>138</v>
      </c>
      <c r="B125" s="1" t="s">
        <v>16</v>
      </c>
      <c r="C125" s="1" t="s">
        <v>46</v>
      </c>
      <c r="D125" s="1" t="s">
        <v>38</v>
      </c>
      <c r="E125">
        <v>109</v>
      </c>
      <c r="F125">
        <v>19.23</v>
      </c>
      <c r="G125">
        <v>2096.0700000000002</v>
      </c>
    </row>
    <row r="126" spans="1:7">
      <c r="A126" s="1" t="s">
        <v>139</v>
      </c>
      <c r="B126" s="1" t="s">
        <v>16</v>
      </c>
      <c r="C126" s="1" t="s">
        <v>9</v>
      </c>
      <c r="D126" s="1" t="s">
        <v>77</v>
      </c>
      <c r="E126">
        <v>186</v>
      </c>
      <c r="F126">
        <v>14.48</v>
      </c>
      <c r="G126">
        <v>2693.28</v>
      </c>
    </row>
    <row r="127" spans="1:7">
      <c r="A127" s="1" t="s">
        <v>116</v>
      </c>
      <c r="B127" s="1" t="s">
        <v>22</v>
      </c>
      <c r="C127" s="1" t="s">
        <v>23</v>
      </c>
      <c r="D127" s="1" t="s">
        <v>77</v>
      </c>
      <c r="E127">
        <v>45</v>
      </c>
      <c r="F127">
        <v>2.06</v>
      </c>
      <c r="G127">
        <v>92.7</v>
      </c>
    </row>
    <row r="128" spans="1:7">
      <c r="A128" s="1" t="s">
        <v>107</v>
      </c>
      <c r="B128" s="1" t="s">
        <v>22</v>
      </c>
      <c r="C128" s="1" t="s">
        <v>26</v>
      </c>
      <c r="D128" s="1" t="s">
        <v>20</v>
      </c>
      <c r="E128">
        <v>84</v>
      </c>
      <c r="F128">
        <v>19.77</v>
      </c>
      <c r="G128">
        <v>1660.68</v>
      </c>
    </row>
    <row r="129" spans="1:7">
      <c r="A129" s="1" t="s">
        <v>140</v>
      </c>
      <c r="B129" s="1" t="s">
        <v>19</v>
      </c>
      <c r="C129" s="1" t="s">
        <v>46</v>
      </c>
      <c r="D129" s="1" t="s">
        <v>14</v>
      </c>
      <c r="E129">
        <v>68</v>
      </c>
      <c r="F129">
        <v>4.3899999999999997</v>
      </c>
      <c r="G129">
        <v>298.52</v>
      </c>
    </row>
    <row r="130" spans="1:7">
      <c r="A130" s="1" t="s">
        <v>132</v>
      </c>
      <c r="B130" s="1" t="s">
        <v>22</v>
      </c>
      <c r="C130" s="1" t="s">
        <v>40</v>
      </c>
      <c r="D130" s="1" t="s">
        <v>14</v>
      </c>
      <c r="E130">
        <v>196</v>
      </c>
      <c r="F130">
        <v>18.07</v>
      </c>
      <c r="G130">
        <v>3541.72</v>
      </c>
    </row>
    <row r="131" spans="1:7">
      <c r="A131" s="1" t="s">
        <v>141</v>
      </c>
      <c r="B131" s="1" t="s">
        <v>22</v>
      </c>
      <c r="C131" s="1" t="s">
        <v>9</v>
      </c>
      <c r="D131" s="1" t="s">
        <v>38</v>
      </c>
      <c r="E131">
        <v>125</v>
      </c>
      <c r="F131">
        <v>1.98</v>
      </c>
      <c r="G131">
        <v>247.5</v>
      </c>
    </row>
    <row r="132" spans="1:7">
      <c r="A132" s="1" t="s">
        <v>142</v>
      </c>
      <c r="B132" s="1" t="s">
        <v>19</v>
      </c>
      <c r="C132" s="1" t="s">
        <v>32</v>
      </c>
      <c r="D132" s="1" t="s">
        <v>10</v>
      </c>
      <c r="E132">
        <v>69</v>
      </c>
      <c r="F132">
        <v>18.57</v>
      </c>
      <c r="G132">
        <v>1281.33</v>
      </c>
    </row>
    <row r="133" spans="1:7">
      <c r="A133" s="1" t="s">
        <v>143</v>
      </c>
      <c r="B133" s="1" t="s">
        <v>8</v>
      </c>
      <c r="C133" s="1" t="s">
        <v>52</v>
      </c>
      <c r="D133" s="1" t="s">
        <v>38</v>
      </c>
      <c r="E133">
        <v>184</v>
      </c>
      <c r="F133">
        <v>16.36</v>
      </c>
      <c r="G133">
        <v>3010.24</v>
      </c>
    </row>
    <row r="134" spans="1:7">
      <c r="A134" s="1" t="s">
        <v>130</v>
      </c>
      <c r="B134" s="1" t="s">
        <v>12</v>
      </c>
      <c r="C134" s="1" t="s">
        <v>40</v>
      </c>
      <c r="D134" s="1" t="s">
        <v>38</v>
      </c>
      <c r="E134">
        <v>176</v>
      </c>
      <c r="F134">
        <v>6.39</v>
      </c>
      <c r="G134">
        <v>1124.6400000000001</v>
      </c>
    </row>
    <row r="135" spans="1:7">
      <c r="A135" s="1" t="s">
        <v>144</v>
      </c>
      <c r="B135" s="1" t="s">
        <v>16</v>
      </c>
      <c r="C135" s="1" t="s">
        <v>60</v>
      </c>
      <c r="D135" s="1" t="s">
        <v>43</v>
      </c>
      <c r="E135">
        <v>112</v>
      </c>
      <c r="F135">
        <v>16.45</v>
      </c>
      <c r="G135">
        <v>1842.4</v>
      </c>
    </row>
    <row r="136" spans="1:7">
      <c r="A136" s="1" t="s">
        <v>145</v>
      </c>
      <c r="B136" s="1" t="s">
        <v>19</v>
      </c>
      <c r="C136" s="1" t="s">
        <v>40</v>
      </c>
      <c r="D136" s="1" t="s">
        <v>33</v>
      </c>
      <c r="E136">
        <v>10</v>
      </c>
      <c r="F136">
        <v>19.41</v>
      </c>
      <c r="G136">
        <v>194.1</v>
      </c>
    </row>
    <row r="137" spans="1:7">
      <c r="A137" s="1" t="s">
        <v>134</v>
      </c>
      <c r="B137" s="1" t="s">
        <v>22</v>
      </c>
      <c r="C137" s="1" t="s">
        <v>23</v>
      </c>
      <c r="D137" s="1" t="s">
        <v>77</v>
      </c>
      <c r="E137">
        <v>34</v>
      </c>
      <c r="F137">
        <v>15.27</v>
      </c>
      <c r="G137">
        <v>519.17999999999995</v>
      </c>
    </row>
    <row r="138" spans="1:7">
      <c r="A138" s="1" t="s">
        <v>146</v>
      </c>
      <c r="B138" s="1" t="s">
        <v>12</v>
      </c>
      <c r="C138" s="1" t="s">
        <v>9</v>
      </c>
      <c r="D138" s="1" t="s">
        <v>33</v>
      </c>
      <c r="E138">
        <v>60</v>
      </c>
      <c r="F138">
        <v>12.15</v>
      </c>
      <c r="G138">
        <v>729</v>
      </c>
    </row>
    <row r="139" spans="1:7">
      <c r="A139" s="1" t="s">
        <v>11</v>
      </c>
      <c r="B139" s="1" t="s">
        <v>16</v>
      </c>
      <c r="C139" s="1" t="s">
        <v>17</v>
      </c>
      <c r="D139" s="1" t="s">
        <v>77</v>
      </c>
      <c r="E139">
        <v>168</v>
      </c>
      <c r="F139">
        <v>1.8</v>
      </c>
      <c r="G139">
        <v>302.39999999999998</v>
      </c>
    </row>
    <row r="140" spans="1:7">
      <c r="A140" s="1" t="s">
        <v>147</v>
      </c>
      <c r="B140" s="1" t="s">
        <v>16</v>
      </c>
      <c r="C140" s="1" t="s">
        <v>46</v>
      </c>
      <c r="D140" s="1" t="s">
        <v>24</v>
      </c>
      <c r="E140">
        <v>51</v>
      </c>
      <c r="F140">
        <v>2.5499999999999998</v>
      </c>
      <c r="G140">
        <v>130.05000000000001</v>
      </c>
    </row>
    <row r="141" spans="1:7">
      <c r="A141" s="1" t="s">
        <v>112</v>
      </c>
      <c r="B141" s="1" t="s">
        <v>8</v>
      </c>
      <c r="C141" s="1" t="s">
        <v>52</v>
      </c>
      <c r="D141" s="1" t="s">
        <v>77</v>
      </c>
      <c r="E141">
        <v>156</v>
      </c>
      <c r="F141">
        <v>19.32</v>
      </c>
      <c r="G141">
        <v>3013.92</v>
      </c>
    </row>
    <row r="142" spans="1:7">
      <c r="A142" s="1" t="s">
        <v>148</v>
      </c>
      <c r="B142" s="1" t="s">
        <v>19</v>
      </c>
      <c r="C142" s="1" t="s">
        <v>17</v>
      </c>
      <c r="D142" s="1" t="s">
        <v>35</v>
      </c>
      <c r="E142">
        <v>79</v>
      </c>
      <c r="F142">
        <v>9.34</v>
      </c>
      <c r="G142">
        <v>737.86</v>
      </c>
    </row>
    <row r="143" spans="1:7">
      <c r="A143" s="1" t="s">
        <v>149</v>
      </c>
      <c r="B143" s="1" t="s">
        <v>22</v>
      </c>
      <c r="C143" s="1" t="s">
        <v>9</v>
      </c>
      <c r="D143" s="1" t="s">
        <v>38</v>
      </c>
      <c r="E143">
        <v>173</v>
      </c>
      <c r="F143">
        <v>6.58</v>
      </c>
      <c r="G143">
        <v>1138.3399999999999</v>
      </c>
    </row>
    <row r="144" spans="1:7">
      <c r="A144" s="1" t="s">
        <v>150</v>
      </c>
      <c r="B144" s="1" t="s">
        <v>8</v>
      </c>
      <c r="C144" s="1" t="s">
        <v>23</v>
      </c>
      <c r="D144" s="1" t="s">
        <v>14</v>
      </c>
      <c r="E144">
        <v>118</v>
      </c>
      <c r="F144">
        <v>18.28</v>
      </c>
      <c r="G144">
        <v>2157.04</v>
      </c>
    </row>
    <row r="145" spans="1:7">
      <c r="A145" s="1" t="s">
        <v>151</v>
      </c>
      <c r="B145" s="1" t="s">
        <v>16</v>
      </c>
      <c r="C145" s="1" t="s">
        <v>13</v>
      </c>
      <c r="D145" s="1" t="s">
        <v>24</v>
      </c>
      <c r="E145">
        <v>152</v>
      </c>
      <c r="F145">
        <v>7.78</v>
      </c>
      <c r="G145">
        <v>1182.56</v>
      </c>
    </row>
    <row r="146" spans="1:7">
      <c r="A146" s="1" t="s">
        <v>7</v>
      </c>
      <c r="B146" s="1" t="s">
        <v>22</v>
      </c>
      <c r="C146" s="1" t="s">
        <v>32</v>
      </c>
      <c r="D146" s="1" t="s">
        <v>24</v>
      </c>
      <c r="E146">
        <v>177</v>
      </c>
      <c r="F146">
        <v>15.35</v>
      </c>
      <c r="G146">
        <v>2716.95</v>
      </c>
    </row>
    <row r="147" spans="1:7">
      <c r="A147" s="1" t="s">
        <v>152</v>
      </c>
      <c r="B147" s="1" t="s">
        <v>22</v>
      </c>
      <c r="C147" s="1" t="s">
        <v>46</v>
      </c>
      <c r="D147" s="1" t="s">
        <v>10</v>
      </c>
      <c r="E147">
        <v>99</v>
      </c>
      <c r="F147">
        <v>2.61</v>
      </c>
      <c r="G147">
        <v>258.39</v>
      </c>
    </row>
    <row r="148" spans="1:7">
      <c r="A148" s="1" t="s">
        <v>153</v>
      </c>
      <c r="B148" s="1" t="s">
        <v>12</v>
      </c>
      <c r="C148" s="1" t="s">
        <v>46</v>
      </c>
      <c r="D148" s="1" t="s">
        <v>24</v>
      </c>
      <c r="E148">
        <v>153</v>
      </c>
      <c r="F148">
        <v>15.32</v>
      </c>
      <c r="G148">
        <v>2343.96</v>
      </c>
    </row>
    <row r="149" spans="1:7">
      <c r="A149" s="1" t="s">
        <v>154</v>
      </c>
      <c r="B149" s="1" t="s">
        <v>12</v>
      </c>
      <c r="C149" s="1" t="s">
        <v>46</v>
      </c>
      <c r="D149" s="1" t="s">
        <v>14</v>
      </c>
      <c r="E149">
        <v>13</v>
      </c>
      <c r="F149">
        <v>19.989999999999998</v>
      </c>
      <c r="G149">
        <v>259.87</v>
      </c>
    </row>
    <row r="150" spans="1:7">
      <c r="A150" s="1" t="s">
        <v>155</v>
      </c>
      <c r="B150" s="1" t="s">
        <v>12</v>
      </c>
      <c r="C150" s="1" t="s">
        <v>52</v>
      </c>
      <c r="D150" s="1" t="s">
        <v>20</v>
      </c>
      <c r="E150">
        <v>39</v>
      </c>
      <c r="F150">
        <v>15.54</v>
      </c>
      <c r="G150">
        <v>606.05999999999995</v>
      </c>
    </row>
    <row r="151" spans="1:7">
      <c r="A151" s="1" t="s">
        <v>65</v>
      </c>
      <c r="B151" s="1" t="s">
        <v>16</v>
      </c>
      <c r="C151" s="1" t="s">
        <v>32</v>
      </c>
      <c r="D151" s="1" t="s">
        <v>14</v>
      </c>
      <c r="E151">
        <v>43</v>
      </c>
      <c r="F151">
        <v>1.54</v>
      </c>
      <c r="G151">
        <v>66.22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workbookViewId="0">
      <selection activeCell="J19" sqref="J19"/>
    </sheetView>
  </sheetViews>
  <sheetFormatPr defaultRowHeight="14.45"/>
  <cols>
    <col min="10" max="10" width="9.28515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1">
      <c r="A2" s="1" t="s">
        <v>7</v>
      </c>
      <c r="B2" s="1" t="s">
        <v>8</v>
      </c>
      <c r="C2" s="1" t="s">
        <v>9</v>
      </c>
      <c r="D2" s="1" t="s">
        <v>10</v>
      </c>
      <c r="E2">
        <v>58</v>
      </c>
      <c r="F2">
        <v>7.17</v>
      </c>
      <c r="G2">
        <v>415.86</v>
      </c>
    </row>
    <row r="3" spans="1:21">
      <c r="A3" s="1" t="s">
        <v>11</v>
      </c>
      <c r="B3" s="1" t="s">
        <v>12</v>
      </c>
      <c r="C3" s="1" t="s">
        <v>13</v>
      </c>
      <c r="D3" s="1" t="s">
        <v>14</v>
      </c>
      <c r="E3">
        <v>184</v>
      </c>
      <c r="F3">
        <v>2.2999999999999998</v>
      </c>
      <c r="G3">
        <v>423.2</v>
      </c>
    </row>
    <row r="4" spans="1:21">
      <c r="A4" s="1" t="s">
        <v>15</v>
      </c>
      <c r="B4" s="1" t="s">
        <v>16</v>
      </c>
      <c r="C4" s="1" t="s">
        <v>17</v>
      </c>
      <c r="D4" s="1" t="s">
        <v>10</v>
      </c>
      <c r="E4">
        <v>104</v>
      </c>
      <c r="F4">
        <v>12.48</v>
      </c>
      <c r="G4">
        <v>1297.92</v>
      </c>
    </row>
    <row r="5" spans="1:21" ht="15">
      <c r="A5" s="1" t="s">
        <v>18</v>
      </c>
      <c r="B5" s="1" t="s">
        <v>19</v>
      </c>
      <c r="C5" s="1" t="s">
        <v>17</v>
      </c>
      <c r="D5" s="1" t="s">
        <v>20</v>
      </c>
      <c r="E5">
        <v>171</v>
      </c>
      <c r="F5">
        <v>11.5</v>
      </c>
      <c r="G5">
        <v>1966.5</v>
      </c>
      <c r="J5" s="5" t="s">
        <v>159</v>
      </c>
      <c r="K5" s="5"/>
      <c r="L5" s="5"/>
      <c r="M5" s="5"/>
      <c r="N5" s="5"/>
      <c r="O5" s="5"/>
      <c r="P5" s="5"/>
      <c r="Q5" s="5"/>
      <c r="R5" s="5"/>
      <c r="S5" s="5"/>
    </row>
    <row r="6" spans="1:21">
      <c r="A6" s="1" t="s">
        <v>21</v>
      </c>
      <c r="B6" s="1" t="s">
        <v>22</v>
      </c>
      <c r="C6" s="1" t="s">
        <v>23</v>
      </c>
      <c r="D6" s="1" t="s">
        <v>24</v>
      </c>
      <c r="E6">
        <v>168</v>
      </c>
      <c r="F6">
        <v>9.42</v>
      </c>
      <c r="G6">
        <v>1582.56</v>
      </c>
    </row>
    <row r="7" spans="1:21">
      <c r="A7" s="1" t="s">
        <v>25</v>
      </c>
      <c r="B7" s="1" t="s">
        <v>16</v>
      </c>
      <c r="C7" s="1" t="s">
        <v>26</v>
      </c>
      <c r="D7" s="1" t="s">
        <v>10</v>
      </c>
      <c r="E7">
        <v>64</v>
      </c>
      <c r="F7">
        <v>2.2599999999999998</v>
      </c>
      <c r="G7">
        <v>144.63999999999999</v>
      </c>
    </row>
    <row r="8" spans="1:21" ht="15">
      <c r="A8" s="1" t="s">
        <v>27</v>
      </c>
      <c r="B8" s="1" t="s">
        <v>16</v>
      </c>
      <c r="C8" s="1" t="s">
        <v>9</v>
      </c>
      <c r="D8" s="1" t="s">
        <v>20</v>
      </c>
      <c r="E8">
        <v>72</v>
      </c>
      <c r="F8">
        <v>8.41</v>
      </c>
      <c r="G8">
        <v>605.52</v>
      </c>
      <c r="J8" s="6">
        <f>SUMIFS(Sheet14[Revenue],B2:B151,"Central",D2:D151,"Pencil")</f>
        <v>2073.65</v>
      </c>
    </row>
    <row r="9" spans="1:21">
      <c r="A9" s="1" t="s">
        <v>28</v>
      </c>
      <c r="B9" s="1" t="s">
        <v>22</v>
      </c>
      <c r="C9" s="1" t="s">
        <v>9</v>
      </c>
      <c r="D9" s="1" t="s">
        <v>14</v>
      </c>
      <c r="E9">
        <v>65</v>
      </c>
      <c r="F9">
        <v>4.55</v>
      </c>
      <c r="G9">
        <v>295.75</v>
      </c>
    </row>
    <row r="10" spans="1:21">
      <c r="A10" s="1" t="s">
        <v>29</v>
      </c>
      <c r="B10" s="1" t="s">
        <v>16</v>
      </c>
      <c r="C10" s="1" t="s">
        <v>9</v>
      </c>
      <c r="D10" s="1" t="s">
        <v>24</v>
      </c>
      <c r="E10">
        <v>162</v>
      </c>
      <c r="F10">
        <v>9.2799999999999994</v>
      </c>
      <c r="G10">
        <v>1503.36</v>
      </c>
    </row>
    <row r="11" spans="1:21" ht="15">
      <c r="A11" s="1" t="s">
        <v>30</v>
      </c>
      <c r="B11" s="1" t="s">
        <v>19</v>
      </c>
      <c r="C11" s="1" t="s">
        <v>26</v>
      </c>
      <c r="D11" s="1" t="s">
        <v>10</v>
      </c>
      <c r="E11">
        <v>165</v>
      </c>
      <c r="F11">
        <v>2.2000000000000002</v>
      </c>
      <c r="G11">
        <v>363</v>
      </c>
      <c r="J11" s="5" t="s">
        <v>160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s="1" t="s">
        <v>31</v>
      </c>
      <c r="B12" s="1" t="s">
        <v>8</v>
      </c>
      <c r="C12" s="1" t="s">
        <v>32</v>
      </c>
      <c r="D12" s="1" t="s">
        <v>33</v>
      </c>
      <c r="E12">
        <v>90</v>
      </c>
      <c r="F12">
        <v>16.920000000000002</v>
      </c>
      <c r="G12">
        <v>1522.8</v>
      </c>
    </row>
    <row r="13" spans="1:21" ht="15">
      <c r="A13" s="1" t="s">
        <v>34</v>
      </c>
      <c r="B13" s="1" t="s">
        <v>19</v>
      </c>
      <c r="C13" s="1" t="s">
        <v>17</v>
      </c>
      <c r="D13" s="1" t="s">
        <v>35</v>
      </c>
      <c r="E13">
        <v>171</v>
      </c>
      <c r="F13">
        <v>8.7899999999999991</v>
      </c>
      <c r="G13">
        <v>1503.09</v>
      </c>
      <c r="J13" s="6">
        <f>SUMIFS(E2:E151,C2:C151,"Jones",F2:F151,"&gt;4")</f>
        <v>1444</v>
      </c>
    </row>
    <row r="14" spans="1:21">
      <c r="A14" s="1" t="s">
        <v>36</v>
      </c>
      <c r="B14" s="1" t="s">
        <v>12</v>
      </c>
      <c r="C14" s="1" t="s">
        <v>26</v>
      </c>
      <c r="D14" s="1" t="s">
        <v>24</v>
      </c>
      <c r="E14">
        <v>107</v>
      </c>
      <c r="F14">
        <v>7.9</v>
      </c>
      <c r="G14">
        <v>845.3</v>
      </c>
    </row>
    <row r="15" spans="1:21">
      <c r="A15" s="1" t="s">
        <v>37</v>
      </c>
      <c r="B15" s="1" t="s">
        <v>22</v>
      </c>
      <c r="C15" s="1" t="s">
        <v>9</v>
      </c>
      <c r="D15" s="1" t="s">
        <v>38</v>
      </c>
      <c r="E15">
        <v>82</v>
      </c>
      <c r="F15">
        <v>10.95</v>
      </c>
      <c r="G15">
        <v>897.9</v>
      </c>
    </row>
    <row r="16" spans="1:21">
      <c r="A16" s="1" t="s">
        <v>39</v>
      </c>
      <c r="B16" s="1" t="s">
        <v>8</v>
      </c>
      <c r="C16" s="1" t="s">
        <v>40</v>
      </c>
      <c r="D16" s="1" t="s">
        <v>33</v>
      </c>
      <c r="E16">
        <v>19</v>
      </c>
      <c r="F16">
        <v>12.92</v>
      </c>
      <c r="G16">
        <v>245.48</v>
      </c>
    </row>
    <row r="17" spans="1:15" ht="15">
      <c r="A17" s="1" t="s">
        <v>41</v>
      </c>
      <c r="B17" s="1" t="s">
        <v>19</v>
      </c>
      <c r="C17" s="1" t="s">
        <v>32</v>
      </c>
      <c r="D17" s="1" t="s">
        <v>14</v>
      </c>
      <c r="E17">
        <v>122</v>
      </c>
      <c r="F17">
        <v>7.91</v>
      </c>
      <c r="G17">
        <v>965.02</v>
      </c>
      <c r="J17" s="5" t="s">
        <v>161</v>
      </c>
      <c r="K17" s="5"/>
      <c r="L17" s="5"/>
      <c r="M17" s="5"/>
      <c r="N17" s="5"/>
      <c r="O17" s="5"/>
    </row>
    <row r="18" spans="1:15">
      <c r="A18" s="1" t="s">
        <v>42</v>
      </c>
      <c r="B18" s="1" t="s">
        <v>8</v>
      </c>
      <c r="C18" s="1" t="s">
        <v>17</v>
      </c>
      <c r="D18" s="1" t="s">
        <v>43</v>
      </c>
      <c r="E18">
        <v>50</v>
      </c>
      <c r="F18">
        <v>13.61</v>
      </c>
      <c r="G18">
        <v>680.5</v>
      </c>
    </row>
    <row r="19" spans="1:15" ht="15">
      <c r="A19" s="1" t="s">
        <v>44</v>
      </c>
      <c r="B19" s="1" t="s">
        <v>19</v>
      </c>
      <c r="C19" s="1" t="s">
        <v>32</v>
      </c>
      <c r="D19" s="1" t="s">
        <v>24</v>
      </c>
      <c r="E19">
        <v>115</v>
      </c>
      <c r="F19">
        <v>9.61</v>
      </c>
      <c r="G19">
        <v>1105.1500000000001</v>
      </c>
      <c r="J19" s="6">
        <f>SUMIFS(E2:E151,C2:C151,"Jones",D2:D151,"&lt;&gt;Pencil")</f>
        <v>1517</v>
      </c>
    </row>
    <row r="20" spans="1:15">
      <c r="A20" s="1" t="s">
        <v>45</v>
      </c>
      <c r="B20" s="1" t="s">
        <v>22</v>
      </c>
      <c r="C20" s="1" t="s">
        <v>46</v>
      </c>
      <c r="D20" s="1" t="s">
        <v>47</v>
      </c>
      <c r="E20">
        <v>150</v>
      </c>
      <c r="F20">
        <v>19.8</v>
      </c>
      <c r="G20">
        <v>2970</v>
      </c>
    </row>
    <row r="21" spans="1:15">
      <c r="A21" s="1" t="s">
        <v>48</v>
      </c>
      <c r="B21" s="1" t="s">
        <v>16</v>
      </c>
      <c r="C21" s="1" t="s">
        <v>13</v>
      </c>
      <c r="D21" s="1" t="s">
        <v>24</v>
      </c>
      <c r="E21">
        <v>72</v>
      </c>
      <c r="F21">
        <v>5.1100000000000003</v>
      </c>
      <c r="G21">
        <v>367.92</v>
      </c>
    </row>
    <row r="22" spans="1:15">
      <c r="A22" s="1" t="s">
        <v>49</v>
      </c>
      <c r="B22" s="1" t="s">
        <v>19</v>
      </c>
      <c r="C22" s="1" t="s">
        <v>23</v>
      </c>
      <c r="D22" s="1" t="s">
        <v>43</v>
      </c>
      <c r="E22">
        <v>157</v>
      </c>
      <c r="F22">
        <v>11.72</v>
      </c>
      <c r="G22">
        <v>1840.04</v>
      </c>
    </row>
    <row r="23" spans="1:15">
      <c r="A23" s="1" t="s">
        <v>50</v>
      </c>
      <c r="B23" s="1" t="s">
        <v>16</v>
      </c>
      <c r="C23" s="1" t="s">
        <v>13</v>
      </c>
      <c r="D23" s="1" t="s">
        <v>38</v>
      </c>
      <c r="E23">
        <v>141</v>
      </c>
      <c r="F23">
        <v>19.77</v>
      </c>
      <c r="G23">
        <v>2787.57</v>
      </c>
    </row>
    <row r="24" spans="1:15">
      <c r="A24" s="1" t="s">
        <v>51</v>
      </c>
      <c r="B24" s="1" t="s">
        <v>16</v>
      </c>
      <c r="C24" s="1" t="s">
        <v>52</v>
      </c>
      <c r="D24" s="1" t="s">
        <v>38</v>
      </c>
      <c r="E24">
        <v>71</v>
      </c>
      <c r="F24">
        <v>1.74</v>
      </c>
      <c r="G24">
        <v>123.54</v>
      </c>
    </row>
    <row r="25" spans="1:15">
      <c r="A25" s="1" t="s">
        <v>53</v>
      </c>
      <c r="B25" s="1" t="s">
        <v>12</v>
      </c>
      <c r="C25" s="1" t="s">
        <v>52</v>
      </c>
      <c r="D25" s="1" t="s">
        <v>38</v>
      </c>
      <c r="E25">
        <v>18</v>
      </c>
      <c r="F25">
        <v>4.3</v>
      </c>
      <c r="G25">
        <v>77.400000000000006</v>
      </c>
    </row>
    <row r="26" spans="1:15">
      <c r="A26" s="1" t="s">
        <v>54</v>
      </c>
      <c r="B26" s="1" t="s">
        <v>12</v>
      </c>
      <c r="C26" s="1" t="s">
        <v>17</v>
      </c>
      <c r="D26" s="1" t="s">
        <v>10</v>
      </c>
      <c r="E26">
        <v>198</v>
      </c>
      <c r="F26">
        <v>11.41</v>
      </c>
      <c r="G26">
        <v>2259.1799999999998</v>
      </c>
    </row>
    <row r="27" spans="1:15">
      <c r="A27" s="1" t="s">
        <v>55</v>
      </c>
      <c r="B27" s="1" t="s">
        <v>19</v>
      </c>
      <c r="C27" s="1" t="s">
        <v>32</v>
      </c>
      <c r="D27" s="1" t="s">
        <v>20</v>
      </c>
      <c r="E27">
        <v>16</v>
      </c>
      <c r="F27">
        <v>12.2</v>
      </c>
      <c r="G27">
        <v>195.2</v>
      </c>
    </row>
    <row r="28" spans="1:15">
      <c r="A28" s="1" t="s">
        <v>37</v>
      </c>
      <c r="B28" s="1" t="s">
        <v>16</v>
      </c>
      <c r="C28" s="1" t="s">
        <v>26</v>
      </c>
      <c r="D28" s="1" t="s">
        <v>33</v>
      </c>
      <c r="E28">
        <v>23</v>
      </c>
      <c r="F28">
        <v>2.02</v>
      </c>
      <c r="G28">
        <v>46.46</v>
      </c>
    </row>
    <row r="29" spans="1:15">
      <c r="A29" s="1" t="s">
        <v>56</v>
      </c>
      <c r="B29" s="1" t="s">
        <v>16</v>
      </c>
      <c r="C29" s="1" t="s">
        <v>46</v>
      </c>
      <c r="D29" s="1" t="s">
        <v>33</v>
      </c>
      <c r="E29">
        <v>89</v>
      </c>
      <c r="F29">
        <v>19.899999999999999</v>
      </c>
      <c r="G29">
        <v>1771.1</v>
      </c>
    </row>
    <row r="30" spans="1:15">
      <c r="A30" s="1" t="s">
        <v>57</v>
      </c>
      <c r="B30" s="1" t="s">
        <v>8</v>
      </c>
      <c r="C30" s="1" t="s">
        <v>26</v>
      </c>
      <c r="D30" s="1" t="s">
        <v>43</v>
      </c>
      <c r="E30">
        <v>188</v>
      </c>
      <c r="F30">
        <v>7.6</v>
      </c>
      <c r="G30">
        <v>1428.8</v>
      </c>
    </row>
    <row r="31" spans="1:15">
      <c r="A31" s="1" t="s">
        <v>58</v>
      </c>
      <c r="B31" s="1" t="s">
        <v>19</v>
      </c>
      <c r="C31" s="1" t="s">
        <v>26</v>
      </c>
      <c r="D31" s="1" t="s">
        <v>38</v>
      </c>
      <c r="E31">
        <v>193</v>
      </c>
      <c r="F31">
        <v>16.36</v>
      </c>
      <c r="G31">
        <v>3157.48</v>
      </c>
    </row>
    <row r="32" spans="1:15">
      <c r="A32" s="1" t="s">
        <v>59</v>
      </c>
      <c r="B32" s="1" t="s">
        <v>16</v>
      </c>
      <c r="C32" s="1" t="s">
        <v>60</v>
      </c>
      <c r="D32" s="1" t="s">
        <v>10</v>
      </c>
      <c r="E32">
        <v>44</v>
      </c>
      <c r="F32">
        <v>16.57</v>
      </c>
      <c r="G32">
        <v>729.08</v>
      </c>
    </row>
    <row r="33" spans="1:7">
      <c r="A33" s="1" t="s">
        <v>15</v>
      </c>
      <c r="B33" s="1" t="s">
        <v>8</v>
      </c>
      <c r="C33" s="1" t="s">
        <v>52</v>
      </c>
      <c r="D33" s="1" t="s">
        <v>47</v>
      </c>
      <c r="E33">
        <v>10</v>
      </c>
      <c r="F33">
        <v>13.39</v>
      </c>
      <c r="G33">
        <v>133.9</v>
      </c>
    </row>
    <row r="34" spans="1:7">
      <c r="A34" s="1" t="s">
        <v>61</v>
      </c>
      <c r="B34" s="1" t="s">
        <v>12</v>
      </c>
      <c r="C34" s="1" t="s">
        <v>46</v>
      </c>
      <c r="D34" s="1" t="s">
        <v>47</v>
      </c>
      <c r="E34">
        <v>67</v>
      </c>
      <c r="F34">
        <v>9.56</v>
      </c>
      <c r="G34">
        <v>640.52</v>
      </c>
    </row>
    <row r="35" spans="1:7">
      <c r="A35" s="1" t="s">
        <v>62</v>
      </c>
      <c r="B35" s="1" t="s">
        <v>8</v>
      </c>
      <c r="C35" s="1" t="s">
        <v>17</v>
      </c>
      <c r="D35" s="1" t="s">
        <v>24</v>
      </c>
      <c r="E35">
        <v>196</v>
      </c>
      <c r="F35">
        <v>15.16</v>
      </c>
      <c r="G35">
        <v>2971.36</v>
      </c>
    </row>
    <row r="36" spans="1:7">
      <c r="A36" s="1" t="s">
        <v>63</v>
      </c>
      <c r="B36" s="1" t="s">
        <v>19</v>
      </c>
      <c r="C36" s="1" t="s">
        <v>60</v>
      </c>
      <c r="D36" s="1" t="s">
        <v>47</v>
      </c>
      <c r="E36">
        <v>95</v>
      </c>
      <c r="F36">
        <v>4.82</v>
      </c>
      <c r="G36">
        <v>457.9</v>
      </c>
    </row>
    <row r="37" spans="1:7">
      <c r="A37" s="1" t="s">
        <v>55</v>
      </c>
      <c r="B37" s="1" t="s">
        <v>22</v>
      </c>
      <c r="C37" s="1" t="s">
        <v>9</v>
      </c>
      <c r="D37" s="1" t="s">
        <v>38</v>
      </c>
      <c r="E37">
        <v>96</v>
      </c>
      <c r="F37">
        <v>5.38</v>
      </c>
      <c r="G37">
        <v>516.48</v>
      </c>
    </row>
    <row r="38" spans="1:7">
      <c r="A38" s="1" t="s">
        <v>64</v>
      </c>
      <c r="B38" s="1" t="s">
        <v>16</v>
      </c>
      <c r="C38" s="1" t="s">
        <v>40</v>
      </c>
      <c r="D38" s="1" t="s">
        <v>10</v>
      </c>
      <c r="E38">
        <v>199</v>
      </c>
      <c r="F38">
        <v>6.83</v>
      </c>
      <c r="G38">
        <v>1359.17</v>
      </c>
    </row>
    <row r="39" spans="1:7">
      <c r="A39" s="1" t="s">
        <v>65</v>
      </c>
      <c r="B39" s="1" t="s">
        <v>22</v>
      </c>
      <c r="C39" s="1" t="s">
        <v>23</v>
      </c>
      <c r="D39" s="1" t="s">
        <v>47</v>
      </c>
      <c r="E39">
        <v>135</v>
      </c>
      <c r="F39">
        <v>16.309999999999999</v>
      </c>
      <c r="G39">
        <v>2201.85</v>
      </c>
    </row>
    <row r="40" spans="1:7">
      <c r="A40" s="1" t="s">
        <v>66</v>
      </c>
      <c r="B40" s="1" t="s">
        <v>16</v>
      </c>
      <c r="C40" s="1" t="s">
        <v>46</v>
      </c>
      <c r="D40" s="1" t="s">
        <v>20</v>
      </c>
      <c r="E40">
        <v>126</v>
      </c>
      <c r="F40">
        <v>15.72</v>
      </c>
      <c r="G40">
        <v>1980.72</v>
      </c>
    </row>
    <row r="41" spans="1:7">
      <c r="A41" s="1" t="s">
        <v>41</v>
      </c>
      <c r="B41" s="1" t="s">
        <v>16</v>
      </c>
      <c r="C41" s="1" t="s">
        <v>26</v>
      </c>
      <c r="D41" s="1" t="s">
        <v>10</v>
      </c>
      <c r="E41">
        <v>175</v>
      </c>
      <c r="F41">
        <v>13.61</v>
      </c>
      <c r="G41">
        <v>2381.75</v>
      </c>
    </row>
    <row r="42" spans="1:7">
      <c r="A42" s="1" t="s">
        <v>67</v>
      </c>
      <c r="B42" s="1" t="s">
        <v>16</v>
      </c>
      <c r="C42" s="1" t="s">
        <v>40</v>
      </c>
      <c r="D42" s="1" t="s">
        <v>38</v>
      </c>
      <c r="E42">
        <v>137</v>
      </c>
      <c r="F42">
        <v>14.06</v>
      </c>
      <c r="G42">
        <v>1926.22</v>
      </c>
    </row>
    <row r="43" spans="1:7">
      <c r="A43" s="1" t="s">
        <v>68</v>
      </c>
      <c r="B43" s="1" t="s">
        <v>12</v>
      </c>
      <c r="C43" s="1" t="s">
        <v>46</v>
      </c>
      <c r="D43" s="1" t="s">
        <v>43</v>
      </c>
      <c r="E43">
        <v>190</v>
      </c>
      <c r="F43">
        <v>10.53</v>
      </c>
      <c r="G43">
        <v>2000.7</v>
      </c>
    </row>
    <row r="44" spans="1:7">
      <c r="A44" s="1" t="s">
        <v>69</v>
      </c>
      <c r="B44" s="1" t="s">
        <v>19</v>
      </c>
      <c r="C44" s="1" t="s">
        <v>17</v>
      </c>
      <c r="D44" s="1" t="s">
        <v>47</v>
      </c>
      <c r="E44">
        <v>131</v>
      </c>
      <c r="F44">
        <v>17.510000000000002</v>
      </c>
      <c r="G44">
        <v>2293.81</v>
      </c>
    </row>
    <row r="45" spans="1:7">
      <c r="A45" s="1" t="s">
        <v>34</v>
      </c>
      <c r="B45" s="1" t="s">
        <v>16</v>
      </c>
      <c r="C45" s="1" t="s">
        <v>32</v>
      </c>
      <c r="D45" s="1" t="s">
        <v>24</v>
      </c>
      <c r="E45">
        <v>92</v>
      </c>
      <c r="F45">
        <v>9.52</v>
      </c>
      <c r="G45">
        <v>875.84</v>
      </c>
    </row>
    <row r="46" spans="1:7">
      <c r="A46" s="1" t="s">
        <v>70</v>
      </c>
      <c r="B46" s="1" t="s">
        <v>8</v>
      </c>
      <c r="C46" s="1" t="s">
        <v>13</v>
      </c>
      <c r="D46" s="1" t="s">
        <v>38</v>
      </c>
      <c r="E46">
        <v>99</v>
      </c>
      <c r="F46">
        <v>9.5299999999999994</v>
      </c>
      <c r="G46">
        <v>943.47</v>
      </c>
    </row>
    <row r="47" spans="1:7">
      <c r="A47" s="1" t="s">
        <v>71</v>
      </c>
      <c r="B47" s="1" t="s">
        <v>16</v>
      </c>
      <c r="C47" s="1" t="s">
        <v>60</v>
      </c>
      <c r="D47" s="1" t="s">
        <v>33</v>
      </c>
      <c r="E47">
        <v>26</v>
      </c>
      <c r="F47">
        <v>17.14</v>
      </c>
      <c r="G47">
        <v>445.64</v>
      </c>
    </row>
    <row r="48" spans="1:7">
      <c r="A48" s="1" t="s">
        <v>72</v>
      </c>
      <c r="B48" s="1" t="s">
        <v>22</v>
      </c>
      <c r="C48" s="1" t="s">
        <v>13</v>
      </c>
      <c r="D48" s="1" t="s">
        <v>35</v>
      </c>
      <c r="E48">
        <v>174</v>
      </c>
      <c r="F48">
        <v>15.85</v>
      </c>
      <c r="G48">
        <v>2757.9</v>
      </c>
    </row>
    <row r="49" spans="1:7">
      <c r="A49" s="1" t="s">
        <v>73</v>
      </c>
      <c r="B49" s="1" t="s">
        <v>12</v>
      </c>
      <c r="C49" s="1" t="s">
        <v>60</v>
      </c>
      <c r="D49" s="1" t="s">
        <v>33</v>
      </c>
      <c r="E49">
        <v>188</v>
      </c>
      <c r="F49">
        <v>4.0599999999999996</v>
      </c>
      <c r="G49">
        <v>763.28</v>
      </c>
    </row>
    <row r="50" spans="1:7">
      <c r="A50" s="1" t="s">
        <v>74</v>
      </c>
      <c r="B50" s="1" t="s">
        <v>19</v>
      </c>
      <c r="C50" s="1" t="s">
        <v>23</v>
      </c>
      <c r="D50" s="1" t="s">
        <v>35</v>
      </c>
      <c r="E50">
        <v>94</v>
      </c>
      <c r="F50">
        <v>4.74</v>
      </c>
      <c r="G50">
        <v>445.56</v>
      </c>
    </row>
    <row r="51" spans="1:7">
      <c r="A51" s="1" t="s">
        <v>75</v>
      </c>
      <c r="B51" s="1" t="s">
        <v>19</v>
      </c>
      <c r="C51" s="1" t="s">
        <v>9</v>
      </c>
      <c r="D51" s="1" t="s">
        <v>38</v>
      </c>
      <c r="E51">
        <v>13</v>
      </c>
      <c r="F51">
        <v>17.84</v>
      </c>
      <c r="G51">
        <v>231.92</v>
      </c>
    </row>
    <row r="52" spans="1:7">
      <c r="A52" s="1" t="s">
        <v>76</v>
      </c>
      <c r="B52" s="1" t="s">
        <v>16</v>
      </c>
      <c r="C52" s="1" t="s">
        <v>23</v>
      </c>
      <c r="D52" s="1" t="s">
        <v>77</v>
      </c>
      <c r="E52">
        <v>102</v>
      </c>
      <c r="F52">
        <v>3.01</v>
      </c>
      <c r="G52">
        <v>307.02</v>
      </c>
    </row>
    <row r="53" spans="1:7">
      <c r="A53" s="1" t="s">
        <v>78</v>
      </c>
      <c r="B53" s="1" t="s">
        <v>8</v>
      </c>
      <c r="C53" s="1" t="s">
        <v>13</v>
      </c>
      <c r="D53" s="1" t="s">
        <v>35</v>
      </c>
      <c r="E53">
        <v>80</v>
      </c>
      <c r="F53">
        <v>4.8</v>
      </c>
      <c r="G53">
        <v>384</v>
      </c>
    </row>
    <row r="54" spans="1:7">
      <c r="A54" s="1" t="s">
        <v>79</v>
      </c>
      <c r="B54" s="1" t="s">
        <v>16</v>
      </c>
      <c r="C54" s="1" t="s">
        <v>52</v>
      </c>
      <c r="D54" s="1" t="s">
        <v>20</v>
      </c>
      <c r="E54">
        <v>47</v>
      </c>
      <c r="F54">
        <v>5.15</v>
      </c>
      <c r="G54">
        <v>242.05</v>
      </c>
    </row>
    <row r="55" spans="1:7">
      <c r="A55" s="1" t="s">
        <v>80</v>
      </c>
      <c r="B55" s="1" t="s">
        <v>8</v>
      </c>
      <c r="C55" s="1" t="s">
        <v>46</v>
      </c>
      <c r="D55" s="1" t="s">
        <v>24</v>
      </c>
      <c r="E55">
        <v>144</v>
      </c>
      <c r="F55">
        <v>2.52</v>
      </c>
      <c r="G55">
        <v>362.88</v>
      </c>
    </row>
    <row r="56" spans="1:7">
      <c r="A56" s="1" t="s">
        <v>54</v>
      </c>
      <c r="B56" s="1" t="s">
        <v>8</v>
      </c>
      <c r="C56" s="1" t="s">
        <v>32</v>
      </c>
      <c r="D56" s="1" t="s">
        <v>10</v>
      </c>
      <c r="E56">
        <v>200</v>
      </c>
      <c r="F56">
        <v>8.3800000000000008</v>
      </c>
      <c r="G56">
        <v>1676</v>
      </c>
    </row>
    <row r="57" spans="1:7">
      <c r="A57" s="1" t="s">
        <v>81</v>
      </c>
      <c r="B57" s="1" t="s">
        <v>12</v>
      </c>
      <c r="C57" s="1" t="s">
        <v>46</v>
      </c>
      <c r="D57" s="1" t="s">
        <v>77</v>
      </c>
      <c r="E57">
        <v>73</v>
      </c>
      <c r="F57">
        <v>9.25</v>
      </c>
      <c r="G57">
        <v>675.25</v>
      </c>
    </row>
    <row r="58" spans="1:7">
      <c r="A58" s="1" t="s">
        <v>56</v>
      </c>
      <c r="B58" s="1" t="s">
        <v>12</v>
      </c>
      <c r="C58" s="1" t="s">
        <v>17</v>
      </c>
      <c r="D58" s="1" t="s">
        <v>77</v>
      </c>
      <c r="E58">
        <v>48</v>
      </c>
      <c r="F58">
        <v>11.4</v>
      </c>
      <c r="G58">
        <v>547.20000000000005</v>
      </c>
    </row>
    <row r="59" spans="1:7">
      <c r="A59" s="1" t="s">
        <v>82</v>
      </c>
      <c r="B59" s="1" t="s">
        <v>8</v>
      </c>
      <c r="C59" s="1" t="s">
        <v>26</v>
      </c>
      <c r="D59" s="1" t="s">
        <v>20</v>
      </c>
      <c r="E59">
        <v>116</v>
      </c>
      <c r="F59">
        <v>17.47</v>
      </c>
      <c r="G59">
        <v>2026.52</v>
      </c>
    </row>
    <row r="60" spans="1:7">
      <c r="A60" s="1" t="s">
        <v>83</v>
      </c>
      <c r="B60" s="1" t="s">
        <v>19</v>
      </c>
      <c r="C60" s="1" t="s">
        <v>26</v>
      </c>
      <c r="D60" s="1" t="s">
        <v>24</v>
      </c>
      <c r="E60">
        <v>59</v>
      </c>
      <c r="F60">
        <v>12.42</v>
      </c>
      <c r="G60">
        <v>732.78</v>
      </c>
    </row>
    <row r="61" spans="1:7">
      <c r="A61" s="1" t="s">
        <v>84</v>
      </c>
      <c r="B61" s="1" t="s">
        <v>12</v>
      </c>
      <c r="C61" s="1" t="s">
        <v>9</v>
      </c>
      <c r="D61" s="1" t="s">
        <v>20</v>
      </c>
      <c r="E61">
        <v>192</v>
      </c>
      <c r="F61">
        <v>9.56</v>
      </c>
      <c r="G61">
        <v>1835.52</v>
      </c>
    </row>
    <row r="62" spans="1:7">
      <c r="A62" s="1" t="s">
        <v>85</v>
      </c>
      <c r="B62" s="1" t="s">
        <v>22</v>
      </c>
      <c r="C62" s="1" t="s">
        <v>60</v>
      </c>
      <c r="D62" s="1" t="s">
        <v>33</v>
      </c>
      <c r="E62">
        <v>55</v>
      </c>
      <c r="F62">
        <v>18.73</v>
      </c>
      <c r="G62">
        <v>1030.1500000000001</v>
      </c>
    </row>
    <row r="63" spans="1:7">
      <c r="A63" s="1" t="s">
        <v>86</v>
      </c>
      <c r="B63" s="1" t="s">
        <v>12</v>
      </c>
      <c r="C63" s="1" t="s">
        <v>23</v>
      </c>
      <c r="D63" s="1" t="s">
        <v>38</v>
      </c>
      <c r="E63">
        <v>40</v>
      </c>
      <c r="F63">
        <v>5.54</v>
      </c>
      <c r="G63">
        <v>221.6</v>
      </c>
    </row>
    <row r="64" spans="1:7">
      <c r="A64" s="1" t="s">
        <v>87</v>
      </c>
      <c r="B64" s="1" t="s">
        <v>19</v>
      </c>
      <c r="C64" s="1" t="s">
        <v>32</v>
      </c>
      <c r="D64" s="1" t="s">
        <v>43</v>
      </c>
      <c r="E64">
        <v>192</v>
      </c>
      <c r="F64">
        <v>8.32</v>
      </c>
      <c r="G64">
        <v>1597.44</v>
      </c>
    </row>
    <row r="65" spans="1:7">
      <c r="A65" s="1" t="s">
        <v>88</v>
      </c>
      <c r="B65" s="1" t="s">
        <v>16</v>
      </c>
      <c r="C65" s="1" t="s">
        <v>23</v>
      </c>
      <c r="D65" s="1" t="s">
        <v>38</v>
      </c>
      <c r="E65">
        <v>114</v>
      </c>
      <c r="F65">
        <v>11.79</v>
      </c>
      <c r="G65">
        <v>1344.06</v>
      </c>
    </row>
    <row r="66" spans="1:7">
      <c r="A66" s="1" t="s">
        <v>89</v>
      </c>
      <c r="B66" s="1" t="s">
        <v>22</v>
      </c>
      <c r="C66" s="1" t="s">
        <v>60</v>
      </c>
      <c r="D66" s="1" t="s">
        <v>24</v>
      </c>
      <c r="E66">
        <v>139</v>
      </c>
      <c r="F66">
        <v>7.09</v>
      </c>
      <c r="G66">
        <v>985.51</v>
      </c>
    </row>
    <row r="67" spans="1:7">
      <c r="A67" s="1" t="s">
        <v>11</v>
      </c>
      <c r="B67" s="1" t="s">
        <v>22</v>
      </c>
      <c r="C67" s="1" t="s">
        <v>52</v>
      </c>
      <c r="D67" s="1" t="s">
        <v>10</v>
      </c>
      <c r="E67">
        <v>30</v>
      </c>
      <c r="F67">
        <v>2.2599999999999998</v>
      </c>
      <c r="G67">
        <v>67.8</v>
      </c>
    </row>
    <row r="68" spans="1:7">
      <c r="A68" s="1" t="s">
        <v>90</v>
      </c>
      <c r="B68" s="1" t="s">
        <v>8</v>
      </c>
      <c r="C68" s="1" t="s">
        <v>26</v>
      </c>
      <c r="D68" s="1" t="s">
        <v>24</v>
      </c>
      <c r="E68">
        <v>132</v>
      </c>
      <c r="F68">
        <v>10.55</v>
      </c>
      <c r="G68">
        <v>1392.6</v>
      </c>
    </row>
    <row r="69" spans="1:7">
      <c r="A69" s="1" t="s">
        <v>91</v>
      </c>
      <c r="B69" s="1" t="s">
        <v>16</v>
      </c>
      <c r="C69" s="1" t="s">
        <v>26</v>
      </c>
      <c r="D69" s="1" t="s">
        <v>35</v>
      </c>
      <c r="E69">
        <v>189</v>
      </c>
      <c r="F69">
        <v>11.88</v>
      </c>
      <c r="G69">
        <v>2245.3200000000002</v>
      </c>
    </row>
    <row r="70" spans="1:7">
      <c r="A70" s="1" t="s">
        <v>92</v>
      </c>
      <c r="B70" s="1" t="s">
        <v>8</v>
      </c>
      <c r="C70" s="1" t="s">
        <v>9</v>
      </c>
      <c r="D70" s="1" t="s">
        <v>47</v>
      </c>
      <c r="E70">
        <v>199</v>
      </c>
      <c r="F70">
        <v>7.77</v>
      </c>
      <c r="G70">
        <v>1546.23</v>
      </c>
    </row>
    <row r="71" spans="1:7">
      <c r="A71" s="1" t="s">
        <v>50</v>
      </c>
      <c r="B71" s="1" t="s">
        <v>22</v>
      </c>
      <c r="C71" s="1" t="s">
        <v>32</v>
      </c>
      <c r="D71" s="1" t="s">
        <v>14</v>
      </c>
      <c r="E71">
        <v>36</v>
      </c>
      <c r="F71">
        <v>6.09</v>
      </c>
      <c r="G71">
        <v>219.24</v>
      </c>
    </row>
    <row r="72" spans="1:7">
      <c r="A72" s="1" t="s">
        <v>93</v>
      </c>
      <c r="B72" s="1" t="s">
        <v>22</v>
      </c>
      <c r="C72" s="1" t="s">
        <v>40</v>
      </c>
      <c r="D72" s="1" t="s">
        <v>77</v>
      </c>
      <c r="E72">
        <v>179</v>
      </c>
      <c r="F72">
        <v>6.04</v>
      </c>
      <c r="G72">
        <v>1081.1600000000001</v>
      </c>
    </row>
    <row r="73" spans="1:7">
      <c r="A73" s="1" t="s">
        <v>94</v>
      </c>
      <c r="B73" s="1" t="s">
        <v>22</v>
      </c>
      <c r="C73" s="1" t="s">
        <v>9</v>
      </c>
      <c r="D73" s="1" t="s">
        <v>33</v>
      </c>
      <c r="E73">
        <v>51</v>
      </c>
      <c r="F73">
        <v>18.239999999999998</v>
      </c>
      <c r="G73">
        <v>930.24</v>
      </c>
    </row>
    <row r="74" spans="1:7">
      <c r="A74" s="1" t="s">
        <v>95</v>
      </c>
      <c r="B74" s="1" t="s">
        <v>22</v>
      </c>
      <c r="C74" s="1" t="s">
        <v>23</v>
      </c>
      <c r="D74" s="1" t="s">
        <v>77</v>
      </c>
      <c r="E74">
        <v>164</v>
      </c>
      <c r="F74">
        <v>16.13</v>
      </c>
      <c r="G74">
        <v>2645.32</v>
      </c>
    </row>
    <row r="75" spans="1:7">
      <c r="A75" s="1" t="s">
        <v>96</v>
      </c>
      <c r="B75" s="1" t="s">
        <v>12</v>
      </c>
      <c r="C75" s="1" t="s">
        <v>9</v>
      </c>
      <c r="D75" s="1" t="s">
        <v>47</v>
      </c>
      <c r="E75">
        <v>77</v>
      </c>
      <c r="F75">
        <v>10.66</v>
      </c>
      <c r="G75">
        <v>820.82</v>
      </c>
    </row>
    <row r="76" spans="1:7">
      <c r="A76" s="1" t="s">
        <v>97</v>
      </c>
      <c r="B76" s="1" t="s">
        <v>22</v>
      </c>
      <c r="C76" s="1" t="s">
        <v>52</v>
      </c>
      <c r="D76" s="1" t="s">
        <v>35</v>
      </c>
      <c r="E76">
        <v>96</v>
      </c>
      <c r="F76">
        <v>17.63</v>
      </c>
      <c r="G76">
        <v>1692.48</v>
      </c>
    </row>
    <row r="77" spans="1:7">
      <c r="A77" s="1" t="s">
        <v>98</v>
      </c>
      <c r="B77" s="1" t="s">
        <v>16</v>
      </c>
      <c r="C77" s="1" t="s">
        <v>46</v>
      </c>
      <c r="D77" s="1" t="s">
        <v>24</v>
      </c>
      <c r="E77">
        <v>96</v>
      </c>
      <c r="F77">
        <v>11.13</v>
      </c>
      <c r="G77">
        <v>1068.48</v>
      </c>
    </row>
    <row r="78" spans="1:7">
      <c r="A78" s="1" t="s">
        <v>99</v>
      </c>
      <c r="B78" s="1" t="s">
        <v>12</v>
      </c>
      <c r="C78" s="1" t="s">
        <v>32</v>
      </c>
      <c r="D78" s="1" t="s">
        <v>14</v>
      </c>
      <c r="E78">
        <v>103</v>
      </c>
      <c r="F78">
        <v>1.63</v>
      </c>
      <c r="G78">
        <v>167.89</v>
      </c>
    </row>
    <row r="79" spans="1:7">
      <c r="A79" s="1" t="s">
        <v>100</v>
      </c>
      <c r="B79" s="1" t="s">
        <v>8</v>
      </c>
      <c r="C79" s="1" t="s">
        <v>52</v>
      </c>
      <c r="D79" s="1" t="s">
        <v>20</v>
      </c>
      <c r="E79">
        <v>124</v>
      </c>
      <c r="F79">
        <v>8.2200000000000006</v>
      </c>
      <c r="G79">
        <v>1019.28</v>
      </c>
    </row>
    <row r="80" spans="1:7">
      <c r="A80" s="1" t="s">
        <v>101</v>
      </c>
      <c r="B80" s="1" t="s">
        <v>16</v>
      </c>
      <c r="C80" s="1" t="s">
        <v>26</v>
      </c>
      <c r="D80" s="1" t="s">
        <v>43</v>
      </c>
      <c r="E80">
        <v>124</v>
      </c>
      <c r="F80">
        <v>9.2899999999999991</v>
      </c>
      <c r="G80">
        <v>1151.96</v>
      </c>
    </row>
    <row r="81" spans="1:7">
      <c r="A81" s="1" t="s">
        <v>102</v>
      </c>
      <c r="B81" s="1" t="s">
        <v>12</v>
      </c>
      <c r="C81" s="1" t="s">
        <v>60</v>
      </c>
      <c r="D81" s="1" t="s">
        <v>35</v>
      </c>
      <c r="E81">
        <v>140</v>
      </c>
      <c r="F81">
        <v>15</v>
      </c>
      <c r="G81">
        <v>2100</v>
      </c>
    </row>
    <row r="82" spans="1:7">
      <c r="A82" s="1" t="s">
        <v>103</v>
      </c>
      <c r="B82" s="1" t="s">
        <v>19</v>
      </c>
      <c r="C82" s="1" t="s">
        <v>26</v>
      </c>
      <c r="D82" s="1" t="s">
        <v>77</v>
      </c>
      <c r="E82">
        <v>135</v>
      </c>
      <c r="F82">
        <v>6.93</v>
      </c>
      <c r="G82">
        <v>935.55</v>
      </c>
    </row>
    <row r="83" spans="1:7">
      <c r="A83" s="1" t="s">
        <v>96</v>
      </c>
      <c r="B83" s="1" t="s">
        <v>16</v>
      </c>
      <c r="C83" s="1" t="s">
        <v>26</v>
      </c>
      <c r="D83" s="1" t="s">
        <v>14</v>
      </c>
      <c r="E83">
        <v>180</v>
      </c>
      <c r="F83">
        <v>12.5</v>
      </c>
      <c r="G83">
        <v>2250</v>
      </c>
    </row>
    <row r="84" spans="1:7">
      <c r="A84" s="1" t="s">
        <v>104</v>
      </c>
      <c r="B84" s="1" t="s">
        <v>8</v>
      </c>
      <c r="C84" s="1" t="s">
        <v>60</v>
      </c>
      <c r="D84" s="1" t="s">
        <v>43</v>
      </c>
      <c r="E84">
        <v>54</v>
      </c>
      <c r="F84">
        <v>1.45</v>
      </c>
      <c r="G84">
        <v>78.3</v>
      </c>
    </row>
    <row r="85" spans="1:7">
      <c r="A85" s="1" t="s">
        <v>105</v>
      </c>
      <c r="B85" s="1" t="s">
        <v>12</v>
      </c>
      <c r="C85" s="1" t="s">
        <v>26</v>
      </c>
      <c r="D85" s="1" t="s">
        <v>24</v>
      </c>
      <c r="E85">
        <v>100</v>
      </c>
      <c r="F85">
        <v>2.42</v>
      </c>
      <c r="G85">
        <v>242</v>
      </c>
    </row>
    <row r="86" spans="1:7">
      <c r="A86" s="1" t="s">
        <v>106</v>
      </c>
      <c r="B86" s="1" t="s">
        <v>12</v>
      </c>
      <c r="C86" s="1" t="s">
        <v>17</v>
      </c>
      <c r="D86" s="1" t="s">
        <v>24</v>
      </c>
      <c r="E86">
        <v>117</v>
      </c>
      <c r="F86">
        <v>7.69</v>
      </c>
      <c r="G86">
        <v>899.73</v>
      </c>
    </row>
    <row r="87" spans="1:7">
      <c r="A87" s="1" t="s">
        <v>107</v>
      </c>
      <c r="B87" s="1" t="s">
        <v>8</v>
      </c>
      <c r="C87" s="1" t="s">
        <v>26</v>
      </c>
      <c r="D87" s="1" t="s">
        <v>35</v>
      </c>
      <c r="E87">
        <v>82</v>
      </c>
      <c r="F87">
        <v>15.88</v>
      </c>
      <c r="G87">
        <v>1302.1600000000001</v>
      </c>
    </row>
    <row r="88" spans="1:7">
      <c r="A88" s="1" t="s">
        <v>108</v>
      </c>
      <c r="B88" s="1" t="s">
        <v>12</v>
      </c>
      <c r="C88" s="1" t="s">
        <v>32</v>
      </c>
      <c r="D88" s="1" t="s">
        <v>47</v>
      </c>
      <c r="E88">
        <v>121</v>
      </c>
      <c r="F88">
        <v>11.82</v>
      </c>
      <c r="G88">
        <v>1430.22</v>
      </c>
    </row>
    <row r="89" spans="1:7">
      <c r="A89" s="1" t="s">
        <v>109</v>
      </c>
      <c r="B89" s="1" t="s">
        <v>16</v>
      </c>
      <c r="C89" s="1" t="s">
        <v>52</v>
      </c>
      <c r="D89" s="1" t="s">
        <v>33</v>
      </c>
      <c r="E89">
        <v>81</v>
      </c>
      <c r="F89">
        <v>10.9</v>
      </c>
      <c r="G89">
        <v>882.9</v>
      </c>
    </row>
    <row r="90" spans="1:7">
      <c r="A90" s="1" t="s">
        <v>110</v>
      </c>
      <c r="B90" s="1" t="s">
        <v>12</v>
      </c>
      <c r="C90" s="1" t="s">
        <v>40</v>
      </c>
      <c r="D90" s="1" t="s">
        <v>77</v>
      </c>
      <c r="E90">
        <v>75</v>
      </c>
      <c r="F90">
        <v>6.68</v>
      </c>
      <c r="G90">
        <v>501</v>
      </c>
    </row>
    <row r="91" spans="1:7">
      <c r="A91" s="1" t="s">
        <v>111</v>
      </c>
      <c r="B91" s="1" t="s">
        <v>12</v>
      </c>
      <c r="C91" s="1" t="s">
        <v>17</v>
      </c>
      <c r="D91" s="1" t="s">
        <v>24</v>
      </c>
      <c r="E91">
        <v>20</v>
      </c>
      <c r="F91">
        <v>11.82</v>
      </c>
      <c r="G91">
        <v>236.4</v>
      </c>
    </row>
    <row r="92" spans="1:7">
      <c r="A92" s="1" t="s">
        <v>112</v>
      </c>
      <c r="B92" s="1" t="s">
        <v>19</v>
      </c>
      <c r="C92" s="1" t="s">
        <v>17</v>
      </c>
      <c r="D92" s="1" t="s">
        <v>35</v>
      </c>
      <c r="E92">
        <v>145</v>
      </c>
      <c r="F92">
        <v>14.3</v>
      </c>
      <c r="G92">
        <v>2073.5</v>
      </c>
    </row>
    <row r="93" spans="1:7">
      <c r="A93" s="1" t="s">
        <v>80</v>
      </c>
      <c r="B93" s="1" t="s">
        <v>22</v>
      </c>
      <c r="C93" s="1" t="s">
        <v>40</v>
      </c>
      <c r="D93" s="1" t="s">
        <v>38</v>
      </c>
      <c r="E93">
        <v>91</v>
      </c>
      <c r="F93">
        <v>15.42</v>
      </c>
      <c r="G93">
        <v>1403.22</v>
      </c>
    </row>
    <row r="94" spans="1:7">
      <c r="A94" s="1" t="s">
        <v>113</v>
      </c>
      <c r="B94" s="1" t="s">
        <v>22</v>
      </c>
      <c r="C94" s="1" t="s">
        <v>52</v>
      </c>
      <c r="D94" s="1" t="s">
        <v>33</v>
      </c>
      <c r="E94">
        <v>79</v>
      </c>
      <c r="F94">
        <v>9.58</v>
      </c>
      <c r="G94">
        <v>756.82</v>
      </c>
    </row>
    <row r="95" spans="1:7">
      <c r="A95" s="1" t="s">
        <v>114</v>
      </c>
      <c r="B95" s="1" t="s">
        <v>8</v>
      </c>
      <c r="C95" s="1" t="s">
        <v>9</v>
      </c>
      <c r="D95" s="1" t="s">
        <v>14</v>
      </c>
      <c r="E95">
        <v>177</v>
      </c>
      <c r="F95">
        <v>8.9499999999999993</v>
      </c>
      <c r="G95">
        <v>1584.15</v>
      </c>
    </row>
    <row r="96" spans="1:7">
      <c r="A96" s="1" t="s">
        <v>115</v>
      </c>
      <c r="B96" s="1" t="s">
        <v>22</v>
      </c>
      <c r="C96" s="1" t="s">
        <v>9</v>
      </c>
      <c r="D96" s="1" t="s">
        <v>47</v>
      </c>
      <c r="E96">
        <v>169</v>
      </c>
      <c r="F96">
        <v>18.62</v>
      </c>
      <c r="G96">
        <v>3146.78</v>
      </c>
    </row>
    <row r="97" spans="1:7">
      <c r="A97" s="1" t="s">
        <v>116</v>
      </c>
      <c r="B97" s="1" t="s">
        <v>12</v>
      </c>
      <c r="C97" s="1" t="s">
        <v>9</v>
      </c>
      <c r="D97" s="1" t="s">
        <v>43</v>
      </c>
      <c r="E97">
        <v>103</v>
      </c>
      <c r="F97">
        <v>3.74</v>
      </c>
      <c r="G97">
        <v>385.22</v>
      </c>
    </row>
    <row r="98" spans="1:7">
      <c r="A98" s="1" t="s">
        <v>117</v>
      </c>
      <c r="B98" s="1" t="s">
        <v>22</v>
      </c>
      <c r="C98" s="1" t="s">
        <v>60</v>
      </c>
      <c r="D98" s="1" t="s">
        <v>43</v>
      </c>
      <c r="E98">
        <v>67</v>
      </c>
      <c r="F98">
        <v>12.98</v>
      </c>
      <c r="G98">
        <v>869.66</v>
      </c>
    </row>
    <row r="99" spans="1:7">
      <c r="A99" s="1" t="s">
        <v>67</v>
      </c>
      <c r="B99" s="1" t="s">
        <v>16</v>
      </c>
      <c r="C99" s="1" t="s">
        <v>32</v>
      </c>
      <c r="D99" s="1" t="s">
        <v>35</v>
      </c>
      <c r="E99">
        <v>148</v>
      </c>
      <c r="F99">
        <v>2.71</v>
      </c>
      <c r="G99">
        <v>401.08</v>
      </c>
    </row>
    <row r="100" spans="1:7">
      <c r="A100" s="1" t="s">
        <v>118</v>
      </c>
      <c r="B100" s="1" t="s">
        <v>8</v>
      </c>
      <c r="C100" s="1" t="s">
        <v>52</v>
      </c>
      <c r="D100" s="1" t="s">
        <v>35</v>
      </c>
      <c r="E100">
        <v>184</v>
      </c>
      <c r="F100">
        <v>4.3</v>
      </c>
      <c r="G100">
        <v>791.2</v>
      </c>
    </row>
    <row r="101" spans="1:7">
      <c r="A101" s="1" t="s">
        <v>119</v>
      </c>
      <c r="B101" s="1" t="s">
        <v>19</v>
      </c>
      <c r="C101" s="1" t="s">
        <v>40</v>
      </c>
      <c r="D101" s="1" t="s">
        <v>77</v>
      </c>
      <c r="E101">
        <v>20</v>
      </c>
      <c r="F101">
        <v>10.199999999999999</v>
      </c>
      <c r="G101">
        <v>204</v>
      </c>
    </row>
    <row r="102" spans="1:7">
      <c r="A102" s="1" t="s">
        <v>120</v>
      </c>
      <c r="B102" s="1" t="s">
        <v>19</v>
      </c>
      <c r="C102" s="1" t="s">
        <v>13</v>
      </c>
      <c r="D102" s="1" t="s">
        <v>43</v>
      </c>
      <c r="E102">
        <v>114</v>
      </c>
      <c r="F102">
        <v>9.08</v>
      </c>
      <c r="G102">
        <v>1035.1199999999999</v>
      </c>
    </row>
    <row r="103" spans="1:7">
      <c r="A103" s="1" t="s">
        <v>121</v>
      </c>
      <c r="B103" s="1" t="s">
        <v>12</v>
      </c>
      <c r="C103" s="1" t="s">
        <v>9</v>
      </c>
      <c r="D103" s="1" t="s">
        <v>38</v>
      </c>
      <c r="E103">
        <v>56</v>
      </c>
      <c r="F103">
        <v>18.920000000000002</v>
      </c>
      <c r="G103">
        <v>1059.52</v>
      </c>
    </row>
    <row r="104" spans="1:7">
      <c r="A104" s="1" t="s">
        <v>122</v>
      </c>
      <c r="B104" s="1" t="s">
        <v>12</v>
      </c>
      <c r="C104" s="1" t="s">
        <v>13</v>
      </c>
      <c r="D104" s="1" t="s">
        <v>20</v>
      </c>
      <c r="E104">
        <v>65</v>
      </c>
      <c r="F104">
        <v>9.36</v>
      </c>
      <c r="G104">
        <v>608.4</v>
      </c>
    </row>
    <row r="105" spans="1:7">
      <c r="A105" s="1" t="s">
        <v>123</v>
      </c>
      <c r="B105" s="1" t="s">
        <v>19</v>
      </c>
      <c r="C105" s="1" t="s">
        <v>17</v>
      </c>
      <c r="D105" s="1" t="s">
        <v>14</v>
      </c>
      <c r="E105">
        <v>59</v>
      </c>
      <c r="F105">
        <v>8.84</v>
      </c>
      <c r="G105">
        <v>521.55999999999995</v>
      </c>
    </row>
    <row r="106" spans="1:7">
      <c r="A106" s="1" t="s">
        <v>124</v>
      </c>
      <c r="B106" s="1" t="s">
        <v>8</v>
      </c>
      <c r="C106" s="1" t="s">
        <v>13</v>
      </c>
      <c r="D106" s="1" t="s">
        <v>33</v>
      </c>
      <c r="E106">
        <v>29</v>
      </c>
      <c r="F106">
        <v>10.53</v>
      </c>
      <c r="G106">
        <v>305.37</v>
      </c>
    </row>
    <row r="107" spans="1:7">
      <c r="A107" s="1" t="s">
        <v>125</v>
      </c>
      <c r="B107" s="1" t="s">
        <v>19</v>
      </c>
      <c r="C107" s="1" t="s">
        <v>40</v>
      </c>
      <c r="D107" s="1" t="s">
        <v>14</v>
      </c>
      <c r="E107">
        <v>46</v>
      </c>
      <c r="F107">
        <v>10.67</v>
      </c>
      <c r="G107">
        <v>490.82</v>
      </c>
    </row>
    <row r="108" spans="1:7">
      <c r="A108" s="1" t="s">
        <v>126</v>
      </c>
      <c r="B108" s="1" t="s">
        <v>22</v>
      </c>
      <c r="C108" s="1" t="s">
        <v>13</v>
      </c>
      <c r="D108" s="1" t="s">
        <v>10</v>
      </c>
      <c r="E108">
        <v>153</v>
      </c>
      <c r="F108">
        <v>4.1399999999999997</v>
      </c>
      <c r="G108">
        <v>633.41999999999996</v>
      </c>
    </row>
    <row r="109" spans="1:7" hidden="1">
      <c r="A109" s="1" t="s">
        <v>127</v>
      </c>
      <c r="B109" s="1" t="s">
        <v>22</v>
      </c>
      <c r="C109" s="1" t="s">
        <v>17</v>
      </c>
      <c r="D109" s="1" t="s">
        <v>10</v>
      </c>
      <c r="E109">
        <v>40</v>
      </c>
      <c r="F109">
        <v>1.27</v>
      </c>
      <c r="G109">
        <v>50.8</v>
      </c>
    </row>
    <row r="110" spans="1:7">
      <c r="A110" s="1" t="s">
        <v>115</v>
      </c>
      <c r="B110" s="1" t="s">
        <v>16</v>
      </c>
      <c r="C110" s="1" t="s">
        <v>9</v>
      </c>
      <c r="D110" s="1" t="s">
        <v>77</v>
      </c>
      <c r="E110">
        <v>30</v>
      </c>
      <c r="F110">
        <v>7.46</v>
      </c>
      <c r="G110">
        <v>223.8</v>
      </c>
    </row>
    <row r="111" spans="1:7">
      <c r="A111" s="1" t="s">
        <v>128</v>
      </c>
      <c r="B111" s="1" t="s">
        <v>16</v>
      </c>
      <c r="C111" s="1" t="s">
        <v>23</v>
      </c>
      <c r="D111" s="1" t="s">
        <v>77</v>
      </c>
      <c r="E111">
        <v>51</v>
      </c>
      <c r="F111">
        <v>15.16</v>
      </c>
      <c r="G111">
        <v>773.16</v>
      </c>
    </row>
    <row r="112" spans="1:7">
      <c r="A112" s="1" t="s">
        <v>129</v>
      </c>
      <c r="B112" s="1" t="s">
        <v>19</v>
      </c>
      <c r="C112" s="1" t="s">
        <v>26</v>
      </c>
      <c r="D112" s="1" t="s">
        <v>33</v>
      </c>
      <c r="E112">
        <v>14</v>
      </c>
      <c r="F112">
        <v>2.37</v>
      </c>
      <c r="G112">
        <v>33.18</v>
      </c>
    </row>
    <row r="113" spans="1:7">
      <c r="A113" s="1" t="s">
        <v>130</v>
      </c>
      <c r="B113" s="1" t="s">
        <v>12</v>
      </c>
      <c r="C113" s="1" t="s">
        <v>13</v>
      </c>
      <c r="D113" s="1" t="s">
        <v>43</v>
      </c>
      <c r="E113">
        <v>116</v>
      </c>
      <c r="F113">
        <v>9.93</v>
      </c>
      <c r="G113">
        <v>1151.8800000000001</v>
      </c>
    </row>
    <row r="114" spans="1:7">
      <c r="A114" s="1" t="s">
        <v>31</v>
      </c>
      <c r="B114" s="1" t="s">
        <v>8</v>
      </c>
      <c r="C114" s="1" t="s">
        <v>9</v>
      </c>
      <c r="D114" s="1" t="s">
        <v>47</v>
      </c>
      <c r="E114">
        <v>196</v>
      </c>
      <c r="F114">
        <v>6.36</v>
      </c>
      <c r="G114">
        <v>1246.56</v>
      </c>
    </row>
    <row r="115" spans="1:7">
      <c r="A115" s="1" t="s">
        <v>131</v>
      </c>
      <c r="B115" s="1" t="s">
        <v>12</v>
      </c>
      <c r="C115" s="1" t="s">
        <v>46</v>
      </c>
      <c r="D115" s="1" t="s">
        <v>24</v>
      </c>
      <c r="E115">
        <v>73</v>
      </c>
      <c r="F115">
        <v>7.35</v>
      </c>
      <c r="G115">
        <v>536.54999999999995</v>
      </c>
    </row>
    <row r="116" spans="1:7">
      <c r="A116" s="1" t="s">
        <v>132</v>
      </c>
      <c r="B116" s="1" t="s">
        <v>19</v>
      </c>
      <c r="C116" s="1" t="s">
        <v>52</v>
      </c>
      <c r="D116" s="1" t="s">
        <v>10</v>
      </c>
      <c r="E116">
        <v>60</v>
      </c>
      <c r="F116">
        <v>2.97</v>
      </c>
      <c r="G116">
        <v>178.2</v>
      </c>
    </row>
    <row r="117" spans="1:7">
      <c r="A117" s="1" t="s">
        <v>133</v>
      </c>
      <c r="B117" s="1" t="s">
        <v>19</v>
      </c>
      <c r="C117" s="1" t="s">
        <v>52</v>
      </c>
      <c r="D117" s="1" t="s">
        <v>43</v>
      </c>
      <c r="E117">
        <v>126</v>
      </c>
      <c r="F117">
        <v>14.23</v>
      </c>
      <c r="G117">
        <v>1792.98</v>
      </c>
    </row>
    <row r="118" spans="1:7">
      <c r="A118" s="1" t="s">
        <v>134</v>
      </c>
      <c r="B118" s="1" t="s">
        <v>19</v>
      </c>
      <c r="C118" s="1" t="s">
        <v>46</v>
      </c>
      <c r="D118" s="1" t="s">
        <v>43</v>
      </c>
      <c r="E118">
        <v>139</v>
      </c>
      <c r="F118">
        <v>6.36</v>
      </c>
      <c r="G118">
        <v>884.04</v>
      </c>
    </row>
    <row r="119" spans="1:7">
      <c r="A119" s="1" t="s">
        <v>104</v>
      </c>
      <c r="B119" s="1" t="s">
        <v>16</v>
      </c>
      <c r="C119" s="1" t="s">
        <v>32</v>
      </c>
      <c r="D119" s="1" t="s">
        <v>33</v>
      </c>
      <c r="E119">
        <v>66</v>
      </c>
      <c r="F119">
        <v>18.07</v>
      </c>
      <c r="G119">
        <v>1192.6199999999999</v>
      </c>
    </row>
    <row r="120" spans="1:7">
      <c r="A120" s="1" t="s">
        <v>135</v>
      </c>
      <c r="B120" s="1" t="s">
        <v>16</v>
      </c>
      <c r="C120" s="1" t="s">
        <v>9</v>
      </c>
      <c r="D120" s="1" t="s">
        <v>24</v>
      </c>
      <c r="E120">
        <v>101</v>
      </c>
      <c r="F120">
        <v>10.67</v>
      </c>
      <c r="G120">
        <v>1077.67</v>
      </c>
    </row>
    <row r="121" spans="1:7">
      <c r="A121" s="1" t="s">
        <v>136</v>
      </c>
      <c r="B121" s="1" t="s">
        <v>16</v>
      </c>
      <c r="C121" s="1" t="s">
        <v>46</v>
      </c>
      <c r="D121" s="1" t="s">
        <v>35</v>
      </c>
      <c r="E121">
        <v>181</v>
      </c>
      <c r="F121">
        <v>18.899999999999999</v>
      </c>
      <c r="G121">
        <v>3420.9</v>
      </c>
    </row>
    <row r="122" spans="1:7">
      <c r="A122" s="1" t="s">
        <v>75</v>
      </c>
      <c r="B122" s="1" t="s">
        <v>16</v>
      </c>
      <c r="C122" s="1" t="s">
        <v>32</v>
      </c>
      <c r="D122" s="1" t="s">
        <v>33</v>
      </c>
      <c r="E122">
        <v>65</v>
      </c>
      <c r="F122">
        <v>5.1100000000000003</v>
      </c>
      <c r="G122">
        <v>332.15</v>
      </c>
    </row>
    <row r="123" spans="1:7">
      <c r="A123" s="1" t="s">
        <v>137</v>
      </c>
      <c r="B123" s="1" t="s">
        <v>8</v>
      </c>
      <c r="C123" s="1" t="s">
        <v>26</v>
      </c>
      <c r="D123" s="1" t="s">
        <v>20</v>
      </c>
      <c r="E123">
        <v>77</v>
      </c>
      <c r="F123">
        <v>7.45</v>
      </c>
      <c r="G123">
        <v>573.65</v>
      </c>
    </row>
    <row r="124" spans="1:7">
      <c r="A124" s="1" t="s">
        <v>137</v>
      </c>
      <c r="B124" s="1" t="s">
        <v>22</v>
      </c>
      <c r="C124" s="1" t="s">
        <v>32</v>
      </c>
      <c r="D124" s="1" t="s">
        <v>77</v>
      </c>
      <c r="E124">
        <v>83</v>
      </c>
      <c r="F124">
        <v>13.5</v>
      </c>
      <c r="G124">
        <v>1120.5</v>
      </c>
    </row>
    <row r="125" spans="1:7">
      <c r="A125" s="1" t="s">
        <v>138</v>
      </c>
      <c r="B125" s="1" t="s">
        <v>16</v>
      </c>
      <c r="C125" s="1" t="s">
        <v>46</v>
      </c>
      <c r="D125" s="1" t="s">
        <v>38</v>
      </c>
      <c r="E125">
        <v>109</v>
      </c>
      <c r="F125">
        <v>19.23</v>
      </c>
      <c r="G125">
        <v>2096.0700000000002</v>
      </c>
    </row>
    <row r="126" spans="1:7">
      <c r="A126" s="1" t="s">
        <v>139</v>
      </c>
      <c r="B126" s="1" t="s">
        <v>16</v>
      </c>
      <c r="C126" s="1" t="s">
        <v>9</v>
      </c>
      <c r="D126" s="1" t="s">
        <v>77</v>
      </c>
      <c r="E126">
        <v>186</v>
      </c>
      <c r="F126">
        <v>14.48</v>
      </c>
      <c r="G126">
        <v>2693.28</v>
      </c>
    </row>
    <row r="127" spans="1:7">
      <c r="A127" s="1" t="s">
        <v>116</v>
      </c>
      <c r="B127" s="1" t="s">
        <v>22</v>
      </c>
      <c r="C127" s="1" t="s">
        <v>23</v>
      </c>
      <c r="D127" s="1" t="s">
        <v>77</v>
      </c>
      <c r="E127">
        <v>45</v>
      </c>
      <c r="F127">
        <v>2.06</v>
      </c>
      <c r="G127">
        <v>92.7</v>
      </c>
    </row>
    <row r="128" spans="1:7">
      <c r="A128" s="1" t="s">
        <v>107</v>
      </c>
      <c r="B128" s="1" t="s">
        <v>22</v>
      </c>
      <c r="C128" s="1" t="s">
        <v>26</v>
      </c>
      <c r="D128" s="1" t="s">
        <v>20</v>
      </c>
      <c r="E128">
        <v>84</v>
      </c>
      <c r="F128">
        <v>19.77</v>
      </c>
      <c r="G128">
        <v>1660.68</v>
      </c>
    </row>
    <row r="129" spans="1:7">
      <c r="A129" s="1" t="s">
        <v>140</v>
      </c>
      <c r="B129" s="1" t="s">
        <v>19</v>
      </c>
      <c r="C129" s="1" t="s">
        <v>46</v>
      </c>
      <c r="D129" s="1" t="s">
        <v>14</v>
      </c>
      <c r="E129">
        <v>68</v>
      </c>
      <c r="F129">
        <v>4.3899999999999997</v>
      </c>
      <c r="G129">
        <v>298.52</v>
      </c>
    </row>
    <row r="130" spans="1:7">
      <c r="A130" s="1" t="s">
        <v>132</v>
      </c>
      <c r="B130" s="1" t="s">
        <v>22</v>
      </c>
      <c r="C130" s="1" t="s">
        <v>40</v>
      </c>
      <c r="D130" s="1" t="s">
        <v>14</v>
      </c>
      <c r="E130">
        <v>196</v>
      </c>
      <c r="F130">
        <v>18.07</v>
      </c>
      <c r="G130">
        <v>3541.72</v>
      </c>
    </row>
    <row r="131" spans="1:7">
      <c r="A131" s="1" t="s">
        <v>141</v>
      </c>
      <c r="B131" s="1" t="s">
        <v>22</v>
      </c>
      <c r="C131" s="1" t="s">
        <v>9</v>
      </c>
      <c r="D131" s="1" t="s">
        <v>38</v>
      </c>
      <c r="E131">
        <v>125</v>
      </c>
      <c r="F131">
        <v>1.98</v>
      </c>
      <c r="G131">
        <v>247.5</v>
      </c>
    </row>
    <row r="132" spans="1:7">
      <c r="A132" s="1" t="s">
        <v>142</v>
      </c>
      <c r="B132" s="1" t="s">
        <v>19</v>
      </c>
      <c r="C132" s="1" t="s">
        <v>32</v>
      </c>
      <c r="D132" s="1" t="s">
        <v>10</v>
      </c>
      <c r="E132">
        <v>69</v>
      </c>
      <c r="F132">
        <v>18.57</v>
      </c>
      <c r="G132">
        <v>1281.33</v>
      </c>
    </row>
    <row r="133" spans="1:7">
      <c r="A133" s="1" t="s">
        <v>143</v>
      </c>
      <c r="B133" s="1" t="s">
        <v>8</v>
      </c>
      <c r="C133" s="1" t="s">
        <v>52</v>
      </c>
      <c r="D133" s="1" t="s">
        <v>38</v>
      </c>
      <c r="E133">
        <v>184</v>
      </c>
      <c r="F133">
        <v>16.36</v>
      </c>
      <c r="G133">
        <v>3010.24</v>
      </c>
    </row>
    <row r="134" spans="1:7">
      <c r="A134" s="1" t="s">
        <v>130</v>
      </c>
      <c r="B134" s="1" t="s">
        <v>12</v>
      </c>
      <c r="C134" s="1" t="s">
        <v>40</v>
      </c>
      <c r="D134" s="1" t="s">
        <v>38</v>
      </c>
      <c r="E134">
        <v>176</v>
      </c>
      <c r="F134">
        <v>6.39</v>
      </c>
      <c r="G134">
        <v>1124.6400000000001</v>
      </c>
    </row>
    <row r="135" spans="1:7">
      <c r="A135" s="1" t="s">
        <v>144</v>
      </c>
      <c r="B135" s="1" t="s">
        <v>16</v>
      </c>
      <c r="C135" s="1" t="s">
        <v>60</v>
      </c>
      <c r="D135" s="1" t="s">
        <v>43</v>
      </c>
      <c r="E135">
        <v>112</v>
      </c>
      <c r="F135">
        <v>16.45</v>
      </c>
      <c r="G135">
        <v>1842.4</v>
      </c>
    </row>
    <row r="136" spans="1:7">
      <c r="A136" s="1" t="s">
        <v>145</v>
      </c>
      <c r="B136" s="1" t="s">
        <v>19</v>
      </c>
      <c r="C136" s="1" t="s">
        <v>40</v>
      </c>
      <c r="D136" s="1" t="s">
        <v>33</v>
      </c>
      <c r="E136">
        <v>10</v>
      </c>
      <c r="F136">
        <v>19.41</v>
      </c>
      <c r="G136">
        <v>194.1</v>
      </c>
    </row>
    <row r="137" spans="1:7">
      <c r="A137" s="1" t="s">
        <v>134</v>
      </c>
      <c r="B137" s="1" t="s">
        <v>22</v>
      </c>
      <c r="C137" s="1" t="s">
        <v>23</v>
      </c>
      <c r="D137" s="1" t="s">
        <v>77</v>
      </c>
      <c r="E137">
        <v>34</v>
      </c>
      <c r="F137">
        <v>15.27</v>
      </c>
      <c r="G137">
        <v>519.17999999999995</v>
      </c>
    </row>
    <row r="138" spans="1:7">
      <c r="A138" s="1" t="s">
        <v>146</v>
      </c>
      <c r="B138" s="1" t="s">
        <v>12</v>
      </c>
      <c r="C138" s="1" t="s">
        <v>9</v>
      </c>
      <c r="D138" s="1" t="s">
        <v>33</v>
      </c>
      <c r="E138">
        <v>60</v>
      </c>
      <c r="F138">
        <v>12.15</v>
      </c>
      <c r="G138">
        <v>729</v>
      </c>
    </row>
    <row r="139" spans="1:7">
      <c r="A139" s="1" t="s">
        <v>11</v>
      </c>
      <c r="B139" s="1" t="s">
        <v>16</v>
      </c>
      <c r="C139" s="1" t="s">
        <v>17</v>
      </c>
      <c r="D139" s="1" t="s">
        <v>77</v>
      </c>
      <c r="E139">
        <v>168</v>
      </c>
      <c r="F139">
        <v>1.8</v>
      </c>
      <c r="G139">
        <v>302.39999999999998</v>
      </c>
    </row>
    <row r="140" spans="1:7">
      <c r="A140" s="1" t="s">
        <v>147</v>
      </c>
      <c r="B140" s="1" t="s">
        <v>16</v>
      </c>
      <c r="C140" s="1" t="s">
        <v>46</v>
      </c>
      <c r="D140" s="1" t="s">
        <v>24</v>
      </c>
      <c r="E140">
        <v>51</v>
      </c>
      <c r="F140">
        <v>2.5499999999999998</v>
      </c>
      <c r="G140">
        <v>130.05000000000001</v>
      </c>
    </row>
    <row r="141" spans="1:7">
      <c r="A141" s="1" t="s">
        <v>112</v>
      </c>
      <c r="B141" s="1" t="s">
        <v>8</v>
      </c>
      <c r="C141" s="1" t="s">
        <v>52</v>
      </c>
      <c r="D141" s="1" t="s">
        <v>77</v>
      </c>
      <c r="E141">
        <v>156</v>
      </c>
      <c r="F141">
        <v>19.32</v>
      </c>
      <c r="G141">
        <v>3013.92</v>
      </c>
    </row>
    <row r="142" spans="1:7">
      <c r="A142" s="1" t="s">
        <v>148</v>
      </c>
      <c r="B142" s="1" t="s">
        <v>19</v>
      </c>
      <c r="C142" s="1" t="s">
        <v>17</v>
      </c>
      <c r="D142" s="1" t="s">
        <v>35</v>
      </c>
      <c r="E142">
        <v>79</v>
      </c>
      <c r="F142">
        <v>9.34</v>
      </c>
      <c r="G142">
        <v>737.86</v>
      </c>
    </row>
    <row r="143" spans="1:7">
      <c r="A143" s="1" t="s">
        <v>149</v>
      </c>
      <c r="B143" s="1" t="s">
        <v>22</v>
      </c>
      <c r="C143" s="1" t="s">
        <v>9</v>
      </c>
      <c r="D143" s="1" t="s">
        <v>38</v>
      </c>
      <c r="E143">
        <v>173</v>
      </c>
      <c r="F143">
        <v>6.58</v>
      </c>
      <c r="G143">
        <v>1138.3399999999999</v>
      </c>
    </row>
    <row r="144" spans="1:7">
      <c r="A144" s="1" t="s">
        <v>150</v>
      </c>
      <c r="B144" s="1" t="s">
        <v>8</v>
      </c>
      <c r="C144" s="1" t="s">
        <v>23</v>
      </c>
      <c r="D144" s="1" t="s">
        <v>14</v>
      </c>
      <c r="E144">
        <v>118</v>
      </c>
      <c r="F144">
        <v>18.28</v>
      </c>
      <c r="G144">
        <v>2157.04</v>
      </c>
    </row>
    <row r="145" spans="1:7">
      <c r="A145" s="1" t="s">
        <v>151</v>
      </c>
      <c r="B145" s="1" t="s">
        <v>16</v>
      </c>
      <c r="C145" s="1" t="s">
        <v>13</v>
      </c>
      <c r="D145" s="1" t="s">
        <v>24</v>
      </c>
      <c r="E145">
        <v>152</v>
      </c>
      <c r="F145">
        <v>7.78</v>
      </c>
      <c r="G145">
        <v>1182.56</v>
      </c>
    </row>
    <row r="146" spans="1:7">
      <c r="A146" s="1" t="s">
        <v>7</v>
      </c>
      <c r="B146" s="1" t="s">
        <v>22</v>
      </c>
      <c r="C146" s="1" t="s">
        <v>32</v>
      </c>
      <c r="D146" s="1" t="s">
        <v>24</v>
      </c>
      <c r="E146">
        <v>177</v>
      </c>
      <c r="F146">
        <v>15.35</v>
      </c>
      <c r="G146">
        <v>2716.95</v>
      </c>
    </row>
    <row r="147" spans="1:7">
      <c r="A147" s="1" t="s">
        <v>152</v>
      </c>
      <c r="B147" s="1" t="s">
        <v>22</v>
      </c>
      <c r="C147" s="1" t="s">
        <v>46</v>
      </c>
      <c r="D147" s="1" t="s">
        <v>10</v>
      </c>
      <c r="E147">
        <v>99</v>
      </c>
      <c r="F147">
        <v>2.61</v>
      </c>
      <c r="G147">
        <v>258.39</v>
      </c>
    </row>
    <row r="148" spans="1:7">
      <c r="A148" s="1" t="s">
        <v>153</v>
      </c>
      <c r="B148" s="1" t="s">
        <v>12</v>
      </c>
      <c r="C148" s="1" t="s">
        <v>46</v>
      </c>
      <c r="D148" s="1" t="s">
        <v>24</v>
      </c>
      <c r="E148">
        <v>153</v>
      </c>
      <c r="F148">
        <v>15.32</v>
      </c>
      <c r="G148">
        <v>2343.96</v>
      </c>
    </row>
    <row r="149" spans="1:7">
      <c r="A149" s="1" t="s">
        <v>154</v>
      </c>
      <c r="B149" s="1" t="s">
        <v>12</v>
      </c>
      <c r="C149" s="1" t="s">
        <v>46</v>
      </c>
      <c r="D149" s="1" t="s">
        <v>14</v>
      </c>
      <c r="E149">
        <v>13</v>
      </c>
      <c r="F149">
        <v>19.989999999999998</v>
      </c>
      <c r="G149">
        <v>259.87</v>
      </c>
    </row>
    <row r="150" spans="1:7">
      <c r="A150" s="1" t="s">
        <v>155</v>
      </c>
      <c r="B150" s="1" t="s">
        <v>12</v>
      </c>
      <c r="C150" s="1" t="s">
        <v>52</v>
      </c>
      <c r="D150" s="1" t="s">
        <v>20</v>
      </c>
      <c r="E150">
        <v>39</v>
      </c>
      <c r="F150">
        <v>15.54</v>
      </c>
      <c r="G150">
        <v>606.05999999999995</v>
      </c>
    </row>
    <row r="151" spans="1:7">
      <c r="A151" s="1" t="s">
        <v>65</v>
      </c>
      <c r="B151" s="1" t="s">
        <v>16</v>
      </c>
      <c r="C151" s="1" t="s">
        <v>32</v>
      </c>
      <c r="D151" s="1" t="s">
        <v>14</v>
      </c>
      <c r="E151">
        <v>43</v>
      </c>
      <c r="F151">
        <v>1.54</v>
      </c>
      <c r="G151">
        <v>66.22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B5AD-71F0-485C-894E-84AB56325064}">
  <dimension ref="A1:R152"/>
  <sheetViews>
    <sheetView topLeftCell="C1" workbookViewId="0">
      <selection activeCell="O1" sqref="O1"/>
    </sheetView>
  </sheetViews>
  <sheetFormatPr defaultRowHeight="15"/>
  <cols>
    <col min="8" max="9" width="11" customWidth="1"/>
    <col min="10" max="10" width="12" customWidth="1"/>
    <col min="11" max="11" width="11.28515625" customWidth="1"/>
    <col min="13" max="13" width="10.28515625" customWidth="1"/>
    <col min="14" max="14" width="9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5" t="s">
        <v>162</v>
      </c>
      <c r="I1" s="12" t="s">
        <v>163</v>
      </c>
      <c r="J1" s="8"/>
      <c r="K1" s="8"/>
    </row>
    <row r="2" spans="1:18">
      <c r="A2" s="1" t="s">
        <v>7</v>
      </c>
      <c r="B2" s="1" t="s">
        <v>8</v>
      </c>
      <c r="C2" s="1" t="s">
        <v>9</v>
      </c>
      <c r="D2" s="1" t="s">
        <v>10</v>
      </c>
      <c r="E2">
        <v>58</v>
      </c>
      <c r="F2">
        <v>7.17</v>
      </c>
      <c r="G2">
        <v>415.86</v>
      </c>
      <c r="H2" s="10">
        <f>COUNTIF(C:C,C2)</f>
        <v>21</v>
      </c>
      <c r="I2" s="10" t="b">
        <f>COUNTIF(C:C,C2)&gt;15</f>
        <v>1</v>
      </c>
      <c r="J2" s="7"/>
      <c r="K2" s="7"/>
    </row>
    <row r="3" spans="1:18">
      <c r="A3" s="1" t="s">
        <v>11</v>
      </c>
      <c r="B3" s="1" t="s">
        <v>12</v>
      </c>
      <c r="C3" s="1" t="s">
        <v>13</v>
      </c>
      <c r="D3" s="1" t="s">
        <v>14</v>
      </c>
      <c r="E3">
        <v>184</v>
      </c>
      <c r="F3">
        <v>2.2999999999999998</v>
      </c>
      <c r="G3">
        <v>423.2</v>
      </c>
      <c r="H3" s="10">
        <f>COUNTIF(C:C,C3)</f>
        <v>12</v>
      </c>
      <c r="I3" s="10" t="b">
        <f t="shared" ref="I3:I66" si="0">COUNTIF(C:C,C3)&gt;15</f>
        <v>0</v>
      </c>
      <c r="J3" s="7"/>
      <c r="K3" s="7"/>
    </row>
    <row r="4" spans="1:18">
      <c r="A4" s="1" t="s">
        <v>15</v>
      </c>
      <c r="B4" s="1" t="s">
        <v>16</v>
      </c>
      <c r="C4" s="1" t="s">
        <v>17</v>
      </c>
      <c r="D4" s="1" t="s">
        <v>10</v>
      </c>
      <c r="E4">
        <v>104</v>
      </c>
      <c r="F4">
        <v>12.48</v>
      </c>
      <c r="G4">
        <v>1297.92</v>
      </c>
      <c r="H4" s="10">
        <f t="shared" ref="H4:H67" si="1">COUNTIF(C:C,C4)</f>
        <v>17</v>
      </c>
      <c r="I4" s="10" t="b">
        <f t="shared" si="0"/>
        <v>1</v>
      </c>
      <c r="J4" s="10"/>
      <c r="K4" s="7"/>
      <c r="L4" s="5" t="s">
        <v>164</v>
      </c>
      <c r="M4" s="5"/>
      <c r="N4" s="5"/>
      <c r="O4" s="5"/>
      <c r="P4" s="5"/>
      <c r="Q4" s="5"/>
    </row>
    <row r="5" spans="1:18">
      <c r="A5" s="1" t="s">
        <v>18</v>
      </c>
      <c r="B5" s="1" t="s">
        <v>19</v>
      </c>
      <c r="C5" s="1" t="s">
        <v>17</v>
      </c>
      <c r="D5" s="1" t="s">
        <v>20</v>
      </c>
      <c r="E5">
        <v>171</v>
      </c>
      <c r="F5">
        <v>11.5</v>
      </c>
      <c r="G5">
        <v>1966.5</v>
      </c>
      <c r="H5" s="10">
        <f t="shared" si="1"/>
        <v>17</v>
      </c>
      <c r="I5" s="10" t="b">
        <f t="shared" si="0"/>
        <v>1</v>
      </c>
      <c r="J5" s="7"/>
      <c r="K5" s="7"/>
    </row>
    <row r="6" spans="1:18">
      <c r="A6" s="1" t="s">
        <v>21</v>
      </c>
      <c r="B6" s="1" t="s">
        <v>22</v>
      </c>
      <c r="C6" s="1" t="s">
        <v>23</v>
      </c>
      <c r="D6" s="1" t="s">
        <v>24</v>
      </c>
      <c r="E6">
        <v>168</v>
      </c>
      <c r="F6">
        <v>9.42</v>
      </c>
      <c r="G6">
        <v>1582.56</v>
      </c>
      <c r="H6" s="10">
        <f t="shared" si="1"/>
        <v>12</v>
      </c>
      <c r="I6" s="10" t="b">
        <f t="shared" si="0"/>
        <v>0</v>
      </c>
      <c r="J6" s="7"/>
      <c r="K6" s="7"/>
      <c r="L6" s="11">
        <f>COUNTIF(C2:C152,"Gill")</f>
        <v>16</v>
      </c>
    </row>
    <row r="7" spans="1:18">
      <c r="A7" s="1" t="s">
        <v>25</v>
      </c>
      <c r="B7" s="1" t="s">
        <v>16</v>
      </c>
      <c r="C7" s="1" t="s">
        <v>26</v>
      </c>
      <c r="D7" s="1" t="s">
        <v>10</v>
      </c>
      <c r="E7">
        <v>64</v>
      </c>
      <c r="F7">
        <v>2.2599999999999998</v>
      </c>
      <c r="G7">
        <v>144.63999999999999</v>
      </c>
      <c r="H7" s="10">
        <f t="shared" si="1"/>
        <v>19</v>
      </c>
      <c r="I7" s="10" t="b">
        <f t="shared" si="0"/>
        <v>1</v>
      </c>
      <c r="J7" s="7"/>
      <c r="K7" s="7"/>
    </row>
    <row r="8" spans="1:18">
      <c r="A8" s="1" t="s">
        <v>27</v>
      </c>
      <c r="B8" s="1" t="s">
        <v>16</v>
      </c>
      <c r="C8" s="1" t="s">
        <v>9</v>
      </c>
      <c r="D8" s="1" t="s">
        <v>20</v>
      </c>
      <c r="E8">
        <v>72</v>
      </c>
      <c r="F8">
        <v>8.41</v>
      </c>
      <c r="G8">
        <v>605.52</v>
      </c>
      <c r="H8" s="10">
        <f t="shared" si="1"/>
        <v>21</v>
      </c>
      <c r="I8" s="10" t="b">
        <f t="shared" si="0"/>
        <v>1</v>
      </c>
      <c r="J8" s="7"/>
      <c r="K8" s="7"/>
    </row>
    <row r="9" spans="1:18">
      <c r="A9" s="1" t="s">
        <v>28</v>
      </c>
      <c r="B9" s="1" t="s">
        <v>22</v>
      </c>
      <c r="C9" s="1" t="s">
        <v>9</v>
      </c>
      <c r="D9" s="1" t="s">
        <v>14</v>
      </c>
      <c r="E9">
        <v>65</v>
      </c>
      <c r="F9">
        <v>4.55</v>
      </c>
      <c r="G9">
        <v>295.75</v>
      </c>
      <c r="H9" s="10">
        <f t="shared" si="1"/>
        <v>21</v>
      </c>
      <c r="I9" s="10" t="b">
        <f t="shared" si="0"/>
        <v>1</v>
      </c>
      <c r="J9" s="7"/>
      <c r="K9" s="7"/>
      <c r="L9" s="5" t="s">
        <v>165</v>
      </c>
      <c r="M9" s="5"/>
      <c r="N9" s="5"/>
      <c r="O9" s="5"/>
      <c r="P9" s="5"/>
      <c r="Q9" s="5"/>
      <c r="R9" s="5"/>
    </row>
    <row r="10" spans="1:18">
      <c r="A10" s="1" t="s">
        <v>29</v>
      </c>
      <c r="B10" s="1" t="s">
        <v>16</v>
      </c>
      <c r="C10" s="1" t="s">
        <v>9</v>
      </c>
      <c r="D10" s="1" t="s">
        <v>24</v>
      </c>
      <c r="E10">
        <v>162</v>
      </c>
      <c r="F10">
        <v>9.2799999999999994</v>
      </c>
      <c r="G10">
        <v>1503.36</v>
      </c>
      <c r="H10" s="10">
        <f t="shared" si="1"/>
        <v>21</v>
      </c>
      <c r="I10" s="10" t="b">
        <f t="shared" si="0"/>
        <v>1</v>
      </c>
      <c r="J10" s="7"/>
      <c r="K10" s="7"/>
    </row>
    <row r="11" spans="1:18">
      <c r="A11" s="1" t="s">
        <v>30</v>
      </c>
      <c r="B11" s="1" t="s">
        <v>19</v>
      </c>
      <c r="C11" s="1" t="s">
        <v>26</v>
      </c>
      <c r="D11" s="1" t="s">
        <v>10</v>
      </c>
      <c r="E11">
        <v>165</v>
      </c>
      <c r="F11">
        <v>2.2000000000000002</v>
      </c>
      <c r="G11">
        <v>363</v>
      </c>
      <c r="H11" s="10">
        <f t="shared" si="1"/>
        <v>19</v>
      </c>
      <c r="I11" s="10" t="b">
        <f t="shared" si="0"/>
        <v>1</v>
      </c>
      <c r="J11" s="7"/>
      <c r="K11" s="7"/>
    </row>
    <row r="12" spans="1:18">
      <c r="A12" s="1" t="s">
        <v>34</v>
      </c>
      <c r="B12" s="1" t="s">
        <v>19</v>
      </c>
      <c r="C12" s="1" t="s">
        <v>17</v>
      </c>
      <c r="D12" s="1" t="s">
        <v>35</v>
      </c>
      <c r="E12">
        <v>171</v>
      </c>
      <c r="F12">
        <v>8.7899999999999991</v>
      </c>
      <c r="G12">
        <v>1503.09</v>
      </c>
      <c r="H12" s="10">
        <f t="shared" si="1"/>
        <v>17</v>
      </c>
      <c r="I12" s="10" t="b">
        <f t="shared" si="0"/>
        <v>1</v>
      </c>
      <c r="J12" s="7"/>
      <c r="K12" s="7"/>
      <c r="L12" s="13" t="s">
        <v>2</v>
      </c>
      <c r="M12" s="14" t="s">
        <v>166</v>
      </c>
      <c r="N12" s="16" t="s">
        <v>167</v>
      </c>
    </row>
    <row r="13" spans="1:18">
      <c r="A13" s="1" t="s">
        <v>36</v>
      </c>
      <c r="B13" s="1" t="s">
        <v>12</v>
      </c>
      <c r="C13" s="1" t="s">
        <v>26</v>
      </c>
      <c r="D13" s="1" t="s">
        <v>24</v>
      </c>
      <c r="E13">
        <v>107</v>
      </c>
      <c r="F13">
        <v>7.9</v>
      </c>
      <c r="G13">
        <v>845.3</v>
      </c>
      <c r="H13" s="10">
        <f t="shared" si="1"/>
        <v>19</v>
      </c>
      <c r="I13" s="10" t="b">
        <f t="shared" si="0"/>
        <v>1</v>
      </c>
      <c r="J13" s="7"/>
      <c r="K13" s="7"/>
      <c r="L13" t="str" cm="1">
        <f t="array" ref="L13:L23">_xlfn.UNIQUE(C2:C152)</f>
        <v>Jardine</v>
      </c>
      <c r="M13">
        <f>_xlfn.XLOOKUP(L13,C:C,H:H)</f>
        <v>21</v>
      </c>
      <c r="N13" t="b">
        <f>_xlfn.XLOOKUP(L13,C:C,I:I)</f>
        <v>1</v>
      </c>
    </row>
    <row r="14" spans="1:18">
      <c r="A14" s="1" t="s">
        <v>37</v>
      </c>
      <c r="B14" s="1" t="s">
        <v>22</v>
      </c>
      <c r="C14" s="1" t="s">
        <v>52</v>
      </c>
      <c r="D14" s="1" t="s">
        <v>38</v>
      </c>
      <c r="E14">
        <v>82</v>
      </c>
      <c r="F14">
        <v>10.95</v>
      </c>
      <c r="G14">
        <v>897.9</v>
      </c>
      <c r="H14" s="10">
        <f t="shared" si="1"/>
        <v>16</v>
      </c>
      <c r="I14" s="10" t="b">
        <f t="shared" si="0"/>
        <v>1</v>
      </c>
      <c r="J14" s="7"/>
      <c r="K14" s="7"/>
      <c r="L14" t="str">
        <v>Sorvino</v>
      </c>
      <c r="M14">
        <f t="shared" ref="M14:M23" si="2">_xlfn.XLOOKUP(L14,C:C,H:H)</f>
        <v>12</v>
      </c>
      <c r="N14" t="b">
        <f t="shared" ref="N14:N23" si="3">_xlfn.XLOOKUP(L14,C:C,I:I)</f>
        <v>0</v>
      </c>
    </row>
    <row r="15" spans="1:18">
      <c r="A15" s="1" t="s">
        <v>39</v>
      </c>
      <c r="B15" s="1" t="s">
        <v>8</v>
      </c>
      <c r="C15" s="1" t="s">
        <v>40</v>
      </c>
      <c r="D15" s="1" t="s">
        <v>33</v>
      </c>
      <c r="E15">
        <v>19</v>
      </c>
      <c r="F15">
        <v>12.92</v>
      </c>
      <c r="G15">
        <v>245.48</v>
      </c>
      <c r="H15" s="10">
        <f t="shared" si="1"/>
        <v>11</v>
      </c>
      <c r="I15" s="10" t="b">
        <f t="shared" si="0"/>
        <v>0</v>
      </c>
      <c r="J15" s="7"/>
      <c r="K15" s="7"/>
      <c r="L15" t="str">
        <v>Howard</v>
      </c>
      <c r="M15">
        <f t="shared" si="2"/>
        <v>17</v>
      </c>
      <c r="N15" t="b">
        <f t="shared" si="3"/>
        <v>1</v>
      </c>
    </row>
    <row r="16" spans="1:18">
      <c r="A16" s="1" t="s">
        <v>41</v>
      </c>
      <c r="B16" s="1" t="s">
        <v>19</v>
      </c>
      <c r="C16" s="1" t="s">
        <v>32</v>
      </c>
      <c r="D16" s="1" t="s">
        <v>14</v>
      </c>
      <c r="E16">
        <v>122</v>
      </c>
      <c r="F16">
        <v>7.91</v>
      </c>
      <c r="G16">
        <v>965.02</v>
      </c>
      <c r="H16" s="10">
        <f t="shared" si="1"/>
        <v>15</v>
      </c>
      <c r="I16" s="10" t="b">
        <f t="shared" si="0"/>
        <v>0</v>
      </c>
      <c r="J16" s="7"/>
      <c r="K16" s="7"/>
      <c r="L16" t="str">
        <v>Kivell</v>
      </c>
      <c r="M16">
        <f t="shared" si="2"/>
        <v>12</v>
      </c>
      <c r="N16" t="b">
        <f t="shared" si="3"/>
        <v>0</v>
      </c>
    </row>
    <row r="17" spans="1:14">
      <c r="A17" s="1" t="s">
        <v>42</v>
      </c>
      <c r="B17" s="1" t="s">
        <v>8</v>
      </c>
      <c r="C17" s="1" t="s">
        <v>17</v>
      </c>
      <c r="D17" s="1" t="s">
        <v>43</v>
      </c>
      <c r="E17">
        <v>50</v>
      </c>
      <c r="F17">
        <v>13.61</v>
      </c>
      <c r="G17">
        <v>680.5</v>
      </c>
      <c r="H17" s="10">
        <f t="shared" si="1"/>
        <v>17</v>
      </c>
      <c r="I17" s="10" t="b">
        <f t="shared" si="0"/>
        <v>1</v>
      </c>
      <c r="J17" s="7"/>
      <c r="K17" s="7"/>
      <c r="L17" t="str">
        <v>Morgan</v>
      </c>
      <c r="M17">
        <f t="shared" si="2"/>
        <v>19</v>
      </c>
      <c r="N17" t="b">
        <f t="shared" si="3"/>
        <v>1</v>
      </c>
    </row>
    <row r="18" spans="1:14">
      <c r="A18" s="1" t="s">
        <v>44</v>
      </c>
      <c r="B18" s="1" t="s">
        <v>19</v>
      </c>
      <c r="C18" s="1" t="s">
        <v>32</v>
      </c>
      <c r="D18" s="1" t="s">
        <v>24</v>
      </c>
      <c r="E18">
        <v>115</v>
      </c>
      <c r="F18">
        <v>9.61</v>
      </c>
      <c r="G18">
        <v>1105.1500000000001</v>
      </c>
      <c r="H18" s="10">
        <f t="shared" si="1"/>
        <v>15</v>
      </c>
      <c r="I18" s="10" t="b">
        <f t="shared" si="0"/>
        <v>0</v>
      </c>
      <c r="J18" s="7"/>
      <c r="K18" s="7"/>
      <c r="L18" t="str">
        <v>Smith</v>
      </c>
      <c r="M18">
        <f t="shared" si="2"/>
        <v>16</v>
      </c>
      <c r="N18" t="b">
        <f t="shared" si="3"/>
        <v>1</v>
      </c>
    </row>
    <row r="19" spans="1:14">
      <c r="A19" s="1" t="s">
        <v>45</v>
      </c>
      <c r="B19" s="1" t="s">
        <v>22</v>
      </c>
      <c r="C19" s="1" t="s">
        <v>168</v>
      </c>
      <c r="D19" s="1" t="s">
        <v>47</v>
      </c>
      <c r="E19">
        <v>150</v>
      </c>
      <c r="F19">
        <v>19.8</v>
      </c>
      <c r="G19">
        <v>2970</v>
      </c>
      <c r="H19" s="10">
        <f t="shared" si="1"/>
        <v>2</v>
      </c>
      <c r="I19" s="10" t="b">
        <f t="shared" si="0"/>
        <v>0</v>
      </c>
      <c r="J19" s="7"/>
      <c r="K19" s="7"/>
      <c r="L19" t="str">
        <v>Andrews</v>
      </c>
      <c r="M19">
        <f t="shared" si="2"/>
        <v>11</v>
      </c>
      <c r="N19" t="b">
        <f t="shared" si="3"/>
        <v>0</v>
      </c>
    </row>
    <row r="20" spans="1:14">
      <c r="A20" s="1" t="s">
        <v>48</v>
      </c>
      <c r="B20" s="1" t="s">
        <v>16</v>
      </c>
      <c r="C20" s="1" t="s">
        <v>13</v>
      </c>
      <c r="D20" s="1" t="s">
        <v>24</v>
      </c>
      <c r="E20">
        <v>72</v>
      </c>
      <c r="F20">
        <v>5.1100000000000003</v>
      </c>
      <c r="G20">
        <v>367.92</v>
      </c>
      <c r="H20" s="10">
        <f t="shared" si="1"/>
        <v>12</v>
      </c>
      <c r="I20" s="10" t="b">
        <f t="shared" si="0"/>
        <v>0</v>
      </c>
      <c r="J20" s="7"/>
      <c r="K20" s="7"/>
      <c r="L20" t="str">
        <v>Jones</v>
      </c>
      <c r="M20">
        <f t="shared" si="2"/>
        <v>15</v>
      </c>
      <c r="N20" t="b">
        <f t="shared" si="3"/>
        <v>0</v>
      </c>
    </row>
    <row r="21" spans="1:14">
      <c r="A21" s="1" t="s">
        <v>49</v>
      </c>
      <c r="B21" s="1" t="s">
        <v>19</v>
      </c>
      <c r="C21" s="1" t="s">
        <v>23</v>
      </c>
      <c r="D21" s="1" t="s">
        <v>43</v>
      </c>
      <c r="E21">
        <v>157</v>
      </c>
      <c r="F21">
        <v>11.72</v>
      </c>
      <c r="G21">
        <v>1840.04</v>
      </c>
      <c r="H21" s="10">
        <f t="shared" si="1"/>
        <v>12</v>
      </c>
      <c r="I21" s="10" t="b">
        <f t="shared" si="0"/>
        <v>0</v>
      </c>
      <c r="J21" s="7"/>
      <c r="K21" s="7"/>
      <c r="L21" t="str">
        <v>Tiger</v>
      </c>
      <c r="M21">
        <f t="shared" si="2"/>
        <v>2</v>
      </c>
      <c r="N21" t="b">
        <f t="shared" si="3"/>
        <v>0</v>
      </c>
    </row>
    <row r="22" spans="1:14">
      <c r="A22" s="1" t="s">
        <v>50</v>
      </c>
      <c r="B22" s="1" t="s">
        <v>16</v>
      </c>
      <c r="C22" s="1" t="s">
        <v>13</v>
      </c>
      <c r="D22" s="1" t="s">
        <v>38</v>
      </c>
      <c r="E22">
        <v>141</v>
      </c>
      <c r="F22">
        <v>19.77</v>
      </c>
      <c r="G22">
        <v>2787.57</v>
      </c>
      <c r="H22" s="10">
        <f t="shared" si="1"/>
        <v>12</v>
      </c>
      <c r="I22" s="10" t="b">
        <f t="shared" si="0"/>
        <v>0</v>
      </c>
      <c r="J22" s="7"/>
      <c r="K22" s="7"/>
      <c r="L22" t="str">
        <v>Gill</v>
      </c>
      <c r="M22">
        <f t="shared" si="2"/>
        <v>16</v>
      </c>
      <c r="N22" t="b">
        <f t="shared" si="3"/>
        <v>1</v>
      </c>
    </row>
    <row r="23" spans="1:14">
      <c r="A23" s="1" t="s">
        <v>51</v>
      </c>
      <c r="B23" s="1" t="s">
        <v>16</v>
      </c>
      <c r="C23" s="1" t="s">
        <v>52</v>
      </c>
      <c r="D23" s="1" t="s">
        <v>38</v>
      </c>
      <c r="E23">
        <v>71</v>
      </c>
      <c r="F23">
        <v>1.74</v>
      </c>
      <c r="G23">
        <v>123.54</v>
      </c>
      <c r="H23" s="10">
        <f t="shared" si="1"/>
        <v>16</v>
      </c>
      <c r="I23" s="10" t="b">
        <f t="shared" si="0"/>
        <v>1</v>
      </c>
      <c r="J23" s="7"/>
      <c r="K23" s="7"/>
      <c r="L23" t="str">
        <v>Blake</v>
      </c>
      <c r="M23">
        <f t="shared" si="2"/>
        <v>10</v>
      </c>
      <c r="N23" t="b">
        <f t="shared" si="3"/>
        <v>0</v>
      </c>
    </row>
    <row r="24" spans="1:14">
      <c r="A24" s="1" t="s">
        <v>53</v>
      </c>
      <c r="B24" s="1" t="s">
        <v>12</v>
      </c>
      <c r="C24" s="1" t="s">
        <v>52</v>
      </c>
      <c r="D24" s="1" t="s">
        <v>38</v>
      </c>
      <c r="E24">
        <v>18</v>
      </c>
      <c r="F24">
        <v>4.3</v>
      </c>
      <c r="G24">
        <v>77.400000000000006</v>
      </c>
      <c r="H24" s="10">
        <f t="shared" si="1"/>
        <v>16</v>
      </c>
      <c r="I24" s="10" t="b">
        <f t="shared" si="0"/>
        <v>1</v>
      </c>
      <c r="J24" s="7"/>
      <c r="K24" s="7"/>
    </row>
    <row r="25" spans="1:14">
      <c r="A25" s="1" t="s">
        <v>54</v>
      </c>
      <c r="B25" s="1" t="s">
        <v>12</v>
      </c>
      <c r="C25" s="1" t="s">
        <v>17</v>
      </c>
      <c r="D25" s="1" t="s">
        <v>10</v>
      </c>
      <c r="E25">
        <v>198</v>
      </c>
      <c r="F25">
        <v>11.41</v>
      </c>
      <c r="G25">
        <v>2259.1799999999998</v>
      </c>
      <c r="H25" s="10">
        <f t="shared" si="1"/>
        <v>17</v>
      </c>
      <c r="I25" s="10" t="b">
        <f t="shared" si="0"/>
        <v>1</v>
      </c>
      <c r="J25" s="7"/>
      <c r="K25" s="7"/>
    </row>
    <row r="26" spans="1:14">
      <c r="A26" s="1" t="s">
        <v>55</v>
      </c>
      <c r="B26" s="1" t="s">
        <v>19</v>
      </c>
      <c r="C26" s="1" t="s">
        <v>32</v>
      </c>
      <c r="D26" s="1" t="s">
        <v>20</v>
      </c>
      <c r="E26">
        <v>16</v>
      </c>
      <c r="F26">
        <v>12.2</v>
      </c>
      <c r="G26">
        <v>195.2</v>
      </c>
      <c r="H26" s="10">
        <f t="shared" si="1"/>
        <v>15</v>
      </c>
      <c r="I26" s="10" t="b">
        <f t="shared" si="0"/>
        <v>0</v>
      </c>
      <c r="J26" s="7"/>
      <c r="K26" s="7"/>
    </row>
    <row r="27" spans="1:14">
      <c r="A27" s="1" t="s">
        <v>37</v>
      </c>
      <c r="B27" s="1" t="s">
        <v>16</v>
      </c>
      <c r="C27" s="1" t="s">
        <v>26</v>
      </c>
      <c r="D27" s="1" t="s">
        <v>33</v>
      </c>
      <c r="E27">
        <v>23</v>
      </c>
      <c r="F27">
        <v>2.02</v>
      </c>
      <c r="G27">
        <v>46.46</v>
      </c>
      <c r="H27" s="10">
        <f t="shared" si="1"/>
        <v>19</v>
      </c>
      <c r="I27" s="10" t="b">
        <f t="shared" si="0"/>
        <v>1</v>
      </c>
      <c r="J27" s="7"/>
      <c r="K27" s="7"/>
    </row>
    <row r="28" spans="1:14">
      <c r="A28" s="1" t="s">
        <v>56</v>
      </c>
      <c r="B28" s="1" t="s">
        <v>16</v>
      </c>
      <c r="C28" s="1" t="s">
        <v>46</v>
      </c>
      <c r="D28" s="1" t="s">
        <v>33</v>
      </c>
      <c r="E28">
        <v>89</v>
      </c>
      <c r="F28">
        <v>19.899999999999999</v>
      </c>
      <c r="G28">
        <v>1771.1</v>
      </c>
      <c r="H28" s="10">
        <f t="shared" si="1"/>
        <v>16</v>
      </c>
      <c r="I28" s="10" t="b">
        <f t="shared" si="0"/>
        <v>1</v>
      </c>
      <c r="J28" s="7"/>
      <c r="K28" s="7"/>
    </row>
    <row r="29" spans="1:14">
      <c r="A29" s="1" t="s">
        <v>57</v>
      </c>
      <c r="B29" s="1" t="s">
        <v>8</v>
      </c>
      <c r="C29" s="1" t="s">
        <v>26</v>
      </c>
      <c r="D29" s="1" t="s">
        <v>43</v>
      </c>
      <c r="E29">
        <v>188</v>
      </c>
      <c r="F29">
        <v>7.6</v>
      </c>
      <c r="G29">
        <v>1428.8</v>
      </c>
      <c r="H29" s="10">
        <f t="shared" si="1"/>
        <v>19</v>
      </c>
      <c r="I29" s="10" t="b">
        <f t="shared" si="0"/>
        <v>1</v>
      </c>
      <c r="J29" s="7"/>
      <c r="K29" s="7"/>
      <c r="M29">
        <f>_xlfn.XLOOKUP(L29,C13:C158,I13:I158,"No found")</f>
        <v>0</v>
      </c>
    </row>
    <row r="30" spans="1:14">
      <c r="A30" s="1" t="s">
        <v>58</v>
      </c>
      <c r="B30" s="1" t="s">
        <v>19</v>
      </c>
      <c r="C30" s="1" t="s">
        <v>26</v>
      </c>
      <c r="D30" s="1" t="s">
        <v>38</v>
      </c>
      <c r="E30">
        <v>193</v>
      </c>
      <c r="F30">
        <v>16.36</v>
      </c>
      <c r="G30">
        <v>3157.48</v>
      </c>
      <c r="H30" s="10">
        <f t="shared" si="1"/>
        <v>19</v>
      </c>
      <c r="I30" s="10" t="b">
        <f t="shared" si="0"/>
        <v>1</v>
      </c>
      <c r="J30" s="7"/>
      <c r="K30" s="7"/>
    </row>
    <row r="31" spans="1:14">
      <c r="A31" s="1" t="s">
        <v>59</v>
      </c>
      <c r="B31" s="1" t="s">
        <v>16</v>
      </c>
      <c r="C31" s="1" t="s">
        <v>60</v>
      </c>
      <c r="D31" s="1" t="s">
        <v>10</v>
      </c>
      <c r="E31">
        <v>44</v>
      </c>
      <c r="F31">
        <v>16.57</v>
      </c>
      <c r="G31">
        <v>729.08</v>
      </c>
      <c r="H31" s="10">
        <f t="shared" si="1"/>
        <v>10</v>
      </c>
      <c r="I31" s="10" t="b">
        <f t="shared" si="0"/>
        <v>0</v>
      </c>
      <c r="J31" s="7"/>
      <c r="K31" s="7"/>
    </row>
    <row r="32" spans="1:14">
      <c r="A32" s="1" t="s">
        <v>15</v>
      </c>
      <c r="B32" s="1" t="s">
        <v>8</v>
      </c>
      <c r="C32" s="1" t="s">
        <v>52</v>
      </c>
      <c r="D32" s="1" t="s">
        <v>47</v>
      </c>
      <c r="E32">
        <v>10</v>
      </c>
      <c r="F32">
        <v>13.39</v>
      </c>
      <c r="G32">
        <v>133.9</v>
      </c>
      <c r="H32" s="10">
        <f t="shared" si="1"/>
        <v>16</v>
      </c>
      <c r="I32" s="10" t="b">
        <f t="shared" si="0"/>
        <v>1</v>
      </c>
      <c r="J32" s="7"/>
      <c r="K32" s="7"/>
    </row>
    <row r="33" spans="1:11">
      <c r="A33" s="1" t="s">
        <v>61</v>
      </c>
      <c r="B33" s="1" t="s">
        <v>12</v>
      </c>
      <c r="C33" s="1" t="s">
        <v>46</v>
      </c>
      <c r="D33" s="1" t="s">
        <v>47</v>
      </c>
      <c r="E33">
        <v>67</v>
      </c>
      <c r="F33">
        <v>9.56</v>
      </c>
      <c r="G33">
        <v>640.52</v>
      </c>
      <c r="H33" s="10">
        <f t="shared" si="1"/>
        <v>16</v>
      </c>
      <c r="I33" s="10" t="b">
        <f t="shared" si="0"/>
        <v>1</v>
      </c>
      <c r="J33" s="7"/>
      <c r="K33" s="7"/>
    </row>
    <row r="34" spans="1:11">
      <c r="A34" s="1" t="s">
        <v>62</v>
      </c>
      <c r="B34" s="1" t="s">
        <v>8</v>
      </c>
      <c r="C34" s="1" t="s">
        <v>17</v>
      </c>
      <c r="D34" s="1" t="s">
        <v>24</v>
      </c>
      <c r="E34">
        <v>196</v>
      </c>
      <c r="F34">
        <v>15.16</v>
      </c>
      <c r="G34">
        <v>2971.36</v>
      </c>
      <c r="H34" s="10">
        <f t="shared" si="1"/>
        <v>17</v>
      </c>
      <c r="I34" s="10" t="b">
        <f t="shared" si="0"/>
        <v>1</v>
      </c>
      <c r="J34" s="7"/>
      <c r="K34" s="7"/>
    </row>
    <row r="35" spans="1:11">
      <c r="A35" s="1" t="s">
        <v>63</v>
      </c>
      <c r="B35" s="1" t="s">
        <v>19</v>
      </c>
      <c r="C35" s="1" t="s">
        <v>60</v>
      </c>
      <c r="D35" s="1" t="s">
        <v>47</v>
      </c>
      <c r="E35">
        <v>95</v>
      </c>
      <c r="F35">
        <v>4.82</v>
      </c>
      <c r="G35">
        <v>457.9</v>
      </c>
      <c r="H35" s="10">
        <f t="shared" si="1"/>
        <v>10</v>
      </c>
      <c r="I35" s="10" t="b">
        <f t="shared" si="0"/>
        <v>0</v>
      </c>
      <c r="J35" s="7"/>
      <c r="K35" s="7"/>
    </row>
    <row r="36" spans="1:11">
      <c r="A36" s="1" t="s">
        <v>55</v>
      </c>
      <c r="B36" s="1" t="s">
        <v>22</v>
      </c>
      <c r="C36" s="1" t="s">
        <v>9</v>
      </c>
      <c r="D36" s="1" t="s">
        <v>38</v>
      </c>
      <c r="E36">
        <v>96</v>
      </c>
      <c r="F36">
        <v>5.38</v>
      </c>
      <c r="G36">
        <v>516.48</v>
      </c>
      <c r="H36" s="10">
        <f t="shared" si="1"/>
        <v>21</v>
      </c>
      <c r="I36" s="10" t="b">
        <f t="shared" si="0"/>
        <v>1</v>
      </c>
      <c r="J36" s="7"/>
      <c r="K36" s="7"/>
    </row>
    <row r="37" spans="1:11">
      <c r="A37" s="1" t="s">
        <v>64</v>
      </c>
      <c r="B37" s="1" t="s">
        <v>16</v>
      </c>
      <c r="C37" s="1" t="s">
        <v>40</v>
      </c>
      <c r="D37" s="1" t="s">
        <v>10</v>
      </c>
      <c r="E37">
        <v>199</v>
      </c>
      <c r="F37">
        <v>6.83</v>
      </c>
      <c r="G37">
        <v>1359.17</v>
      </c>
      <c r="H37" s="10">
        <f t="shared" si="1"/>
        <v>11</v>
      </c>
      <c r="I37" s="10" t="b">
        <f t="shared" si="0"/>
        <v>0</v>
      </c>
      <c r="J37" s="7"/>
      <c r="K37" s="7"/>
    </row>
    <row r="38" spans="1:11">
      <c r="A38" s="1" t="s">
        <v>65</v>
      </c>
      <c r="B38" s="1" t="s">
        <v>22</v>
      </c>
      <c r="C38" s="1" t="s">
        <v>23</v>
      </c>
      <c r="D38" s="1" t="s">
        <v>47</v>
      </c>
      <c r="E38">
        <v>135</v>
      </c>
      <c r="F38">
        <v>16.309999999999999</v>
      </c>
      <c r="G38">
        <v>2201.85</v>
      </c>
      <c r="H38" s="10">
        <f t="shared" si="1"/>
        <v>12</v>
      </c>
      <c r="I38" s="10" t="b">
        <f t="shared" si="0"/>
        <v>0</v>
      </c>
      <c r="J38" s="7"/>
      <c r="K38" s="7"/>
    </row>
    <row r="39" spans="1:11">
      <c r="A39" s="1" t="s">
        <v>66</v>
      </c>
      <c r="B39" s="1" t="s">
        <v>16</v>
      </c>
      <c r="C39" s="1" t="s">
        <v>46</v>
      </c>
      <c r="D39" s="1" t="s">
        <v>20</v>
      </c>
      <c r="E39">
        <v>126</v>
      </c>
      <c r="F39">
        <v>15.72</v>
      </c>
      <c r="G39">
        <v>1980.72</v>
      </c>
      <c r="H39" s="10">
        <f t="shared" si="1"/>
        <v>16</v>
      </c>
      <c r="I39" s="10" t="b">
        <f t="shared" si="0"/>
        <v>1</v>
      </c>
      <c r="J39" s="7"/>
      <c r="K39" s="7"/>
    </row>
    <row r="40" spans="1:11">
      <c r="A40" s="1" t="s">
        <v>41</v>
      </c>
      <c r="B40" s="1" t="s">
        <v>16</v>
      </c>
      <c r="C40" s="1" t="s">
        <v>26</v>
      </c>
      <c r="D40" s="1" t="s">
        <v>10</v>
      </c>
      <c r="E40">
        <v>175</v>
      </c>
      <c r="F40">
        <v>13.61</v>
      </c>
      <c r="G40">
        <v>2381.75</v>
      </c>
      <c r="H40" s="10">
        <f t="shared" si="1"/>
        <v>19</v>
      </c>
      <c r="I40" s="10" t="b">
        <f t="shared" si="0"/>
        <v>1</v>
      </c>
      <c r="J40" s="7"/>
      <c r="K40" s="7"/>
    </row>
    <row r="41" spans="1:11">
      <c r="A41" s="1" t="s">
        <v>67</v>
      </c>
      <c r="B41" s="1" t="s">
        <v>16</v>
      </c>
      <c r="C41" s="1" t="s">
        <v>40</v>
      </c>
      <c r="D41" s="1" t="s">
        <v>38</v>
      </c>
      <c r="E41">
        <v>137</v>
      </c>
      <c r="F41">
        <v>14.06</v>
      </c>
      <c r="G41">
        <v>1926.22</v>
      </c>
      <c r="H41" s="10">
        <f t="shared" si="1"/>
        <v>11</v>
      </c>
      <c r="I41" s="10" t="b">
        <f t="shared" si="0"/>
        <v>0</v>
      </c>
      <c r="J41" s="7"/>
      <c r="K41" s="7"/>
    </row>
    <row r="42" spans="1:11">
      <c r="A42" s="1" t="s">
        <v>68</v>
      </c>
      <c r="B42" s="1" t="s">
        <v>12</v>
      </c>
      <c r="C42" s="1" t="s">
        <v>46</v>
      </c>
      <c r="D42" s="1" t="s">
        <v>43</v>
      </c>
      <c r="E42">
        <v>190</v>
      </c>
      <c r="F42">
        <v>10.53</v>
      </c>
      <c r="G42">
        <v>2000.7</v>
      </c>
      <c r="H42" s="10">
        <f t="shared" si="1"/>
        <v>16</v>
      </c>
      <c r="I42" s="10" t="b">
        <f t="shared" si="0"/>
        <v>1</v>
      </c>
      <c r="J42" s="7"/>
      <c r="K42" s="7"/>
    </row>
    <row r="43" spans="1:11">
      <c r="A43" s="1" t="s">
        <v>69</v>
      </c>
      <c r="B43" s="1" t="s">
        <v>19</v>
      </c>
      <c r="C43" s="1" t="s">
        <v>17</v>
      </c>
      <c r="D43" s="1" t="s">
        <v>47</v>
      </c>
      <c r="E43">
        <v>131</v>
      </c>
      <c r="F43">
        <v>17.510000000000002</v>
      </c>
      <c r="G43">
        <v>2293.81</v>
      </c>
      <c r="H43" s="10">
        <f t="shared" si="1"/>
        <v>17</v>
      </c>
      <c r="I43" s="10" t="b">
        <f t="shared" si="0"/>
        <v>1</v>
      </c>
      <c r="J43" s="7"/>
      <c r="K43" s="7"/>
    </row>
    <row r="44" spans="1:11">
      <c r="A44" s="1" t="s">
        <v>34</v>
      </c>
      <c r="B44" s="1" t="s">
        <v>16</v>
      </c>
      <c r="C44" s="1" t="s">
        <v>32</v>
      </c>
      <c r="D44" s="1" t="s">
        <v>24</v>
      </c>
      <c r="E44">
        <v>92</v>
      </c>
      <c r="F44">
        <v>9.52</v>
      </c>
      <c r="G44">
        <v>875.84</v>
      </c>
      <c r="H44" s="10">
        <f t="shared" si="1"/>
        <v>15</v>
      </c>
      <c r="I44" s="10" t="b">
        <f t="shared" si="0"/>
        <v>0</v>
      </c>
      <c r="J44" s="7"/>
      <c r="K44" s="7"/>
    </row>
    <row r="45" spans="1:11">
      <c r="A45" s="1" t="s">
        <v>70</v>
      </c>
      <c r="B45" s="1" t="s">
        <v>8</v>
      </c>
      <c r="C45" s="1" t="s">
        <v>13</v>
      </c>
      <c r="D45" s="1" t="s">
        <v>38</v>
      </c>
      <c r="E45">
        <v>99</v>
      </c>
      <c r="F45">
        <v>9.5299999999999994</v>
      </c>
      <c r="G45">
        <v>943.47</v>
      </c>
      <c r="H45" s="10">
        <f t="shared" si="1"/>
        <v>12</v>
      </c>
      <c r="I45" s="10" t="b">
        <f t="shared" si="0"/>
        <v>0</v>
      </c>
      <c r="J45" s="7"/>
      <c r="K45" s="7"/>
    </row>
    <row r="46" spans="1:11">
      <c r="A46" s="1" t="s">
        <v>71</v>
      </c>
      <c r="B46" s="1" t="s">
        <v>16</v>
      </c>
      <c r="C46" s="1" t="s">
        <v>60</v>
      </c>
      <c r="D46" s="1" t="s">
        <v>33</v>
      </c>
      <c r="E46">
        <v>26</v>
      </c>
      <c r="F46">
        <v>17.14</v>
      </c>
      <c r="G46">
        <v>445.64</v>
      </c>
      <c r="H46" s="10">
        <f t="shared" si="1"/>
        <v>10</v>
      </c>
      <c r="I46" s="10" t="b">
        <f t="shared" si="0"/>
        <v>0</v>
      </c>
      <c r="J46" s="7"/>
      <c r="K46" s="7"/>
    </row>
    <row r="47" spans="1:11">
      <c r="A47" s="1" t="s">
        <v>72</v>
      </c>
      <c r="B47" s="1" t="s">
        <v>22</v>
      </c>
      <c r="C47" s="1" t="s">
        <v>13</v>
      </c>
      <c r="D47" s="1" t="s">
        <v>35</v>
      </c>
      <c r="E47">
        <v>174</v>
      </c>
      <c r="F47">
        <v>15.85</v>
      </c>
      <c r="G47">
        <v>2757.9</v>
      </c>
      <c r="H47" s="10">
        <f t="shared" si="1"/>
        <v>12</v>
      </c>
      <c r="I47" s="10" t="b">
        <f t="shared" si="0"/>
        <v>0</v>
      </c>
      <c r="J47" s="7"/>
      <c r="K47" s="7"/>
    </row>
    <row r="48" spans="1:11">
      <c r="A48" s="1" t="s">
        <v>73</v>
      </c>
      <c r="B48" s="1" t="s">
        <v>12</v>
      </c>
      <c r="C48" s="1" t="s">
        <v>60</v>
      </c>
      <c r="D48" s="1" t="s">
        <v>33</v>
      </c>
      <c r="E48">
        <v>188</v>
      </c>
      <c r="F48">
        <v>4.0599999999999996</v>
      </c>
      <c r="G48">
        <v>763.28</v>
      </c>
      <c r="H48" s="10">
        <f t="shared" si="1"/>
        <v>10</v>
      </c>
      <c r="I48" s="10" t="b">
        <f t="shared" si="0"/>
        <v>0</v>
      </c>
      <c r="J48" s="7"/>
      <c r="K48" s="7"/>
    </row>
    <row r="49" spans="1:11">
      <c r="A49" s="1" t="s">
        <v>74</v>
      </c>
      <c r="B49" s="1" t="s">
        <v>19</v>
      </c>
      <c r="C49" s="1" t="s">
        <v>23</v>
      </c>
      <c r="D49" s="1" t="s">
        <v>35</v>
      </c>
      <c r="E49">
        <v>94</v>
      </c>
      <c r="F49">
        <v>4.74</v>
      </c>
      <c r="G49">
        <v>445.56</v>
      </c>
      <c r="H49" s="10">
        <f t="shared" si="1"/>
        <v>12</v>
      </c>
      <c r="I49" s="10" t="b">
        <f t="shared" si="0"/>
        <v>0</v>
      </c>
      <c r="J49" s="7"/>
      <c r="K49" s="7"/>
    </row>
    <row r="50" spans="1:11">
      <c r="A50" s="1" t="s">
        <v>75</v>
      </c>
      <c r="B50" s="1" t="s">
        <v>19</v>
      </c>
      <c r="C50" s="1" t="s">
        <v>9</v>
      </c>
      <c r="D50" s="1" t="s">
        <v>38</v>
      </c>
      <c r="E50">
        <v>13</v>
      </c>
      <c r="F50">
        <v>17.84</v>
      </c>
      <c r="G50">
        <v>231.92</v>
      </c>
      <c r="H50" s="10">
        <f t="shared" si="1"/>
        <v>21</v>
      </c>
      <c r="I50" s="10" t="b">
        <f t="shared" si="0"/>
        <v>1</v>
      </c>
      <c r="J50" s="7"/>
      <c r="K50" s="7"/>
    </row>
    <row r="51" spans="1:11">
      <c r="A51" s="1" t="s">
        <v>76</v>
      </c>
      <c r="B51" s="1" t="s">
        <v>16</v>
      </c>
      <c r="C51" s="1" t="s">
        <v>23</v>
      </c>
      <c r="D51" s="1" t="s">
        <v>77</v>
      </c>
      <c r="E51">
        <v>102</v>
      </c>
      <c r="F51">
        <v>3.01</v>
      </c>
      <c r="G51">
        <v>307.02</v>
      </c>
      <c r="H51" s="10">
        <f t="shared" si="1"/>
        <v>12</v>
      </c>
      <c r="I51" s="10" t="b">
        <f t="shared" si="0"/>
        <v>0</v>
      </c>
      <c r="J51" s="7"/>
      <c r="K51" s="7"/>
    </row>
    <row r="52" spans="1:11">
      <c r="A52" s="1" t="s">
        <v>78</v>
      </c>
      <c r="B52" s="1" t="s">
        <v>8</v>
      </c>
      <c r="C52" s="1" t="s">
        <v>13</v>
      </c>
      <c r="D52" s="1" t="s">
        <v>35</v>
      </c>
      <c r="E52">
        <v>80</v>
      </c>
      <c r="F52">
        <v>4.8</v>
      </c>
      <c r="G52">
        <v>384</v>
      </c>
      <c r="H52" s="10">
        <f t="shared" si="1"/>
        <v>12</v>
      </c>
      <c r="I52" s="10" t="b">
        <f t="shared" si="0"/>
        <v>0</v>
      </c>
      <c r="J52" s="7"/>
      <c r="K52" s="7"/>
    </row>
    <row r="53" spans="1:11">
      <c r="A53" s="1" t="s">
        <v>79</v>
      </c>
      <c r="B53" s="1" t="s">
        <v>16</v>
      </c>
      <c r="C53" s="1" t="s">
        <v>52</v>
      </c>
      <c r="D53" s="1" t="s">
        <v>20</v>
      </c>
      <c r="E53">
        <v>47</v>
      </c>
      <c r="F53">
        <v>5.15</v>
      </c>
      <c r="G53">
        <v>242.05</v>
      </c>
      <c r="H53" s="10">
        <f t="shared" si="1"/>
        <v>16</v>
      </c>
      <c r="I53" s="10" t="b">
        <f t="shared" si="0"/>
        <v>1</v>
      </c>
      <c r="J53" s="7"/>
      <c r="K53" s="7"/>
    </row>
    <row r="54" spans="1:11">
      <c r="A54" s="1" t="s">
        <v>80</v>
      </c>
      <c r="B54" s="1" t="s">
        <v>8</v>
      </c>
      <c r="C54" s="1" t="s">
        <v>46</v>
      </c>
      <c r="D54" s="1" t="s">
        <v>24</v>
      </c>
      <c r="E54">
        <v>144</v>
      </c>
      <c r="F54">
        <v>2.52</v>
      </c>
      <c r="G54">
        <v>362.88</v>
      </c>
      <c r="H54" s="10">
        <f t="shared" si="1"/>
        <v>16</v>
      </c>
      <c r="I54" s="10" t="b">
        <f t="shared" si="0"/>
        <v>1</v>
      </c>
      <c r="J54" s="7"/>
      <c r="K54" s="7"/>
    </row>
    <row r="55" spans="1:11">
      <c r="A55" s="1" t="s">
        <v>54</v>
      </c>
      <c r="B55" s="1" t="s">
        <v>8</v>
      </c>
      <c r="C55" s="1" t="s">
        <v>32</v>
      </c>
      <c r="D55" s="1" t="s">
        <v>10</v>
      </c>
      <c r="E55">
        <v>200</v>
      </c>
      <c r="F55">
        <v>8.3800000000000008</v>
      </c>
      <c r="G55">
        <v>1676</v>
      </c>
      <c r="H55" s="10">
        <f t="shared" si="1"/>
        <v>15</v>
      </c>
      <c r="I55" s="10" t="b">
        <f t="shared" si="0"/>
        <v>0</v>
      </c>
      <c r="J55" s="7"/>
      <c r="K55" s="7"/>
    </row>
    <row r="56" spans="1:11">
      <c r="A56" s="1" t="s">
        <v>81</v>
      </c>
      <c r="B56" s="1" t="s">
        <v>12</v>
      </c>
      <c r="C56" s="1" t="s">
        <v>46</v>
      </c>
      <c r="D56" s="1" t="s">
        <v>77</v>
      </c>
      <c r="E56">
        <v>73</v>
      </c>
      <c r="F56">
        <v>9.25</v>
      </c>
      <c r="G56">
        <v>675.25</v>
      </c>
      <c r="H56" s="10">
        <f t="shared" si="1"/>
        <v>16</v>
      </c>
      <c r="I56" s="10" t="b">
        <f t="shared" si="0"/>
        <v>1</v>
      </c>
      <c r="J56" s="7"/>
      <c r="K56" s="7"/>
    </row>
    <row r="57" spans="1:11">
      <c r="A57" s="1" t="s">
        <v>56</v>
      </c>
      <c r="B57" s="1" t="s">
        <v>12</v>
      </c>
      <c r="C57" s="1" t="s">
        <v>17</v>
      </c>
      <c r="D57" s="1" t="s">
        <v>77</v>
      </c>
      <c r="E57">
        <v>48</v>
      </c>
      <c r="F57">
        <v>11.4</v>
      </c>
      <c r="G57">
        <v>547.20000000000005</v>
      </c>
      <c r="H57" s="10">
        <f t="shared" si="1"/>
        <v>17</v>
      </c>
      <c r="I57" s="10" t="b">
        <f t="shared" si="0"/>
        <v>1</v>
      </c>
      <c r="J57" s="7"/>
      <c r="K57" s="7"/>
    </row>
    <row r="58" spans="1:11">
      <c r="A58" s="1" t="s">
        <v>82</v>
      </c>
      <c r="B58" s="1" t="s">
        <v>8</v>
      </c>
      <c r="C58" s="1" t="s">
        <v>26</v>
      </c>
      <c r="D58" s="1" t="s">
        <v>20</v>
      </c>
      <c r="E58">
        <v>116</v>
      </c>
      <c r="F58">
        <v>17.47</v>
      </c>
      <c r="G58">
        <v>2026.52</v>
      </c>
      <c r="H58" s="10">
        <f t="shared" si="1"/>
        <v>19</v>
      </c>
      <c r="I58" s="10" t="b">
        <f t="shared" si="0"/>
        <v>1</v>
      </c>
      <c r="J58" s="7"/>
      <c r="K58" s="7"/>
    </row>
    <row r="59" spans="1:11">
      <c r="A59" s="1" t="s">
        <v>83</v>
      </c>
      <c r="B59" s="1" t="s">
        <v>19</v>
      </c>
      <c r="C59" s="1" t="s">
        <v>26</v>
      </c>
      <c r="D59" s="1" t="s">
        <v>24</v>
      </c>
      <c r="E59">
        <v>59</v>
      </c>
      <c r="F59">
        <v>12.42</v>
      </c>
      <c r="G59">
        <v>732.78</v>
      </c>
      <c r="H59" s="10">
        <f t="shared" si="1"/>
        <v>19</v>
      </c>
      <c r="I59" s="10" t="b">
        <f t="shared" si="0"/>
        <v>1</v>
      </c>
      <c r="J59" s="7"/>
      <c r="K59" s="7"/>
    </row>
    <row r="60" spans="1:11">
      <c r="A60" s="1" t="s">
        <v>84</v>
      </c>
      <c r="B60" s="1" t="s">
        <v>12</v>
      </c>
      <c r="C60" s="1" t="s">
        <v>9</v>
      </c>
      <c r="D60" s="1" t="s">
        <v>20</v>
      </c>
      <c r="E60">
        <v>192</v>
      </c>
      <c r="F60">
        <v>9.56</v>
      </c>
      <c r="G60">
        <v>1835.52</v>
      </c>
      <c r="H60" s="10">
        <f t="shared" si="1"/>
        <v>21</v>
      </c>
      <c r="I60" s="10" t="b">
        <f t="shared" si="0"/>
        <v>1</v>
      </c>
      <c r="J60" s="7"/>
      <c r="K60" s="7"/>
    </row>
    <row r="61" spans="1:11">
      <c r="A61" s="1" t="s">
        <v>85</v>
      </c>
      <c r="B61" s="1" t="s">
        <v>22</v>
      </c>
      <c r="C61" s="1" t="s">
        <v>60</v>
      </c>
      <c r="D61" s="1" t="s">
        <v>33</v>
      </c>
      <c r="E61">
        <v>55</v>
      </c>
      <c r="F61">
        <v>18.73</v>
      </c>
      <c r="G61">
        <v>1030.1500000000001</v>
      </c>
      <c r="H61" s="10">
        <f t="shared" si="1"/>
        <v>10</v>
      </c>
      <c r="I61" s="10" t="b">
        <f t="shared" si="0"/>
        <v>0</v>
      </c>
      <c r="J61" s="7"/>
      <c r="K61" s="7"/>
    </row>
    <row r="62" spans="1:11">
      <c r="A62" s="1" t="s">
        <v>86</v>
      </c>
      <c r="B62" s="1" t="s">
        <v>12</v>
      </c>
      <c r="C62" s="1" t="s">
        <v>23</v>
      </c>
      <c r="D62" s="1" t="s">
        <v>38</v>
      </c>
      <c r="E62">
        <v>40</v>
      </c>
      <c r="F62">
        <v>5.54</v>
      </c>
      <c r="G62">
        <v>221.6</v>
      </c>
      <c r="H62" s="10">
        <f t="shared" si="1"/>
        <v>12</v>
      </c>
      <c r="I62" s="10" t="b">
        <f t="shared" si="0"/>
        <v>0</v>
      </c>
      <c r="J62" s="7"/>
      <c r="K62" s="7"/>
    </row>
    <row r="63" spans="1:11">
      <c r="A63" s="1" t="s">
        <v>87</v>
      </c>
      <c r="B63" s="1" t="s">
        <v>19</v>
      </c>
      <c r="C63" s="1" t="s">
        <v>32</v>
      </c>
      <c r="D63" s="1" t="s">
        <v>43</v>
      </c>
      <c r="E63">
        <v>192</v>
      </c>
      <c r="F63">
        <v>8.32</v>
      </c>
      <c r="G63">
        <v>1597.44</v>
      </c>
      <c r="H63" s="10">
        <f t="shared" si="1"/>
        <v>15</v>
      </c>
      <c r="I63" s="10" t="b">
        <f t="shared" si="0"/>
        <v>0</v>
      </c>
      <c r="J63" s="7"/>
      <c r="K63" s="7"/>
    </row>
    <row r="64" spans="1:11">
      <c r="A64" s="1" t="s">
        <v>88</v>
      </c>
      <c r="B64" s="1" t="s">
        <v>16</v>
      </c>
      <c r="C64" s="1" t="s">
        <v>23</v>
      </c>
      <c r="D64" s="1" t="s">
        <v>38</v>
      </c>
      <c r="E64">
        <v>114</v>
      </c>
      <c r="F64">
        <v>11.79</v>
      </c>
      <c r="G64">
        <v>1344.06</v>
      </c>
      <c r="H64" s="10">
        <f t="shared" si="1"/>
        <v>12</v>
      </c>
      <c r="I64" s="10" t="b">
        <f t="shared" si="0"/>
        <v>0</v>
      </c>
      <c r="J64" s="7"/>
      <c r="K64" s="7"/>
    </row>
    <row r="65" spans="1:11">
      <c r="A65" s="1" t="s">
        <v>89</v>
      </c>
      <c r="B65" s="1" t="s">
        <v>22</v>
      </c>
      <c r="C65" s="1" t="s">
        <v>60</v>
      </c>
      <c r="D65" s="1" t="s">
        <v>24</v>
      </c>
      <c r="E65">
        <v>139</v>
      </c>
      <c r="F65">
        <v>7.09</v>
      </c>
      <c r="G65">
        <v>985.51</v>
      </c>
      <c r="H65" s="10">
        <f t="shared" si="1"/>
        <v>10</v>
      </c>
      <c r="I65" s="10" t="b">
        <f t="shared" si="0"/>
        <v>0</v>
      </c>
      <c r="J65" s="7"/>
      <c r="K65" s="7"/>
    </row>
    <row r="66" spans="1:11">
      <c r="A66" s="1" t="s">
        <v>11</v>
      </c>
      <c r="B66" s="1" t="s">
        <v>22</v>
      </c>
      <c r="C66" s="1" t="s">
        <v>52</v>
      </c>
      <c r="D66" s="1" t="s">
        <v>10</v>
      </c>
      <c r="E66">
        <v>30</v>
      </c>
      <c r="F66">
        <v>2.2599999999999998</v>
      </c>
      <c r="G66">
        <v>67.8</v>
      </c>
      <c r="H66" s="10">
        <f t="shared" si="1"/>
        <v>16</v>
      </c>
      <c r="I66" s="10" t="b">
        <f t="shared" si="0"/>
        <v>1</v>
      </c>
      <c r="J66" s="7"/>
      <c r="K66" s="7"/>
    </row>
    <row r="67" spans="1:11">
      <c r="A67" s="1" t="s">
        <v>90</v>
      </c>
      <c r="B67" s="1" t="s">
        <v>8</v>
      </c>
      <c r="C67" s="1" t="s">
        <v>26</v>
      </c>
      <c r="D67" s="1" t="s">
        <v>24</v>
      </c>
      <c r="E67">
        <v>132</v>
      </c>
      <c r="F67">
        <v>10.55</v>
      </c>
      <c r="G67">
        <v>1392.6</v>
      </c>
      <c r="H67" s="10">
        <f t="shared" si="1"/>
        <v>19</v>
      </c>
      <c r="I67" s="10" t="b">
        <f t="shared" ref="I67:I130" si="4">COUNTIF(C:C,C67)&gt;15</f>
        <v>1</v>
      </c>
      <c r="J67" s="7"/>
      <c r="K67" s="7"/>
    </row>
    <row r="68" spans="1:11">
      <c r="A68" s="1" t="s">
        <v>91</v>
      </c>
      <c r="B68" s="1" t="s">
        <v>16</v>
      </c>
      <c r="C68" s="1" t="s">
        <v>26</v>
      </c>
      <c r="D68" s="1" t="s">
        <v>35</v>
      </c>
      <c r="E68">
        <v>189</v>
      </c>
      <c r="F68">
        <v>11.88</v>
      </c>
      <c r="G68">
        <v>2245.3200000000002</v>
      </c>
      <c r="H68" s="10">
        <f t="shared" ref="H68:H131" si="5">COUNTIF(C:C,C68)</f>
        <v>19</v>
      </c>
      <c r="I68" s="10" t="b">
        <f t="shared" si="4"/>
        <v>1</v>
      </c>
      <c r="J68" s="7"/>
      <c r="K68" s="7"/>
    </row>
    <row r="69" spans="1:11">
      <c r="A69" s="1" t="s">
        <v>92</v>
      </c>
      <c r="B69" s="1" t="s">
        <v>8</v>
      </c>
      <c r="C69" s="1" t="s">
        <v>9</v>
      </c>
      <c r="D69" s="1" t="s">
        <v>47</v>
      </c>
      <c r="E69">
        <v>199</v>
      </c>
      <c r="F69">
        <v>7.77</v>
      </c>
      <c r="G69">
        <v>1546.23</v>
      </c>
      <c r="H69" s="10">
        <f t="shared" si="5"/>
        <v>21</v>
      </c>
      <c r="I69" s="10" t="b">
        <f t="shared" si="4"/>
        <v>1</v>
      </c>
      <c r="J69" s="7"/>
      <c r="K69" s="7"/>
    </row>
    <row r="70" spans="1:11">
      <c r="A70" s="1" t="s">
        <v>50</v>
      </c>
      <c r="B70" s="1" t="s">
        <v>22</v>
      </c>
      <c r="C70" s="1" t="s">
        <v>32</v>
      </c>
      <c r="D70" s="1" t="s">
        <v>14</v>
      </c>
      <c r="E70">
        <v>36</v>
      </c>
      <c r="F70">
        <v>6.09</v>
      </c>
      <c r="G70">
        <v>219.24</v>
      </c>
      <c r="H70" s="10">
        <f t="shared" si="5"/>
        <v>15</v>
      </c>
      <c r="I70" s="10" t="b">
        <f t="shared" si="4"/>
        <v>0</v>
      </c>
      <c r="J70" s="7"/>
      <c r="K70" s="7"/>
    </row>
    <row r="71" spans="1:11">
      <c r="A71" s="1" t="s">
        <v>93</v>
      </c>
      <c r="B71" s="1" t="s">
        <v>22</v>
      </c>
      <c r="C71" s="1" t="s">
        <v>40</v>
      </c>
      <c r="D71" s="1" t="s">
        <v>77</v>
      </c>
      <c r="E71">
        <v>179</v>
      </c>
      <c r="F71">
        <v>6.04</v>
      </c>
      <c r="G71">
        <v>1081.1600000000001</v>
      </c>
      <c r="H71" s="10">
        <f t="shared" si="5"/>
        <v>11</v>
      </c>
      <c r="I71" s="10" t="b">
        <f t="shared" si="4"/>
        <v>0</v>
      </c>
      <c r="J71" s="7"/>
      <c r="K71" s="7"/>
    </row>
    <row r="72" spans="1:11">
      <c r="A72" s="1" t="s">
        <v>94</v>
      </c>
      <c r="B72" s="1" t="s">
        <v>22</v>
      </c>
      <c r="C72" s="1" t="s">
        <v>9</v>
      </c>
      <c r="D72" s="1" t="s">
        <v>33</v>
      </c>
      <c r="E72">
        <v>51</v>
      </c>
      <c r="F72">
        <v>18.239999999999998</v>
      </c>
      <c r="G72">
        <v>930.24</v>
      </c>
      <c r="H72" s="10">
        <f t="shared" si="5"/>
        <v>21</v>
      </c>
      <c r="I72" s="10" t="b">
        <f t="shared" si="4"/>
        <v>1</v>
      </c>
      <c r="J72" s="7"/>
      <c r="K72" s="7"/>
    </row>
    <row r="73" spans="1:11">
      <c r="A73" s="1" t="s">
        <v>95</v>
      </c>
      <c r="B73" s="1" t="s">
        <v>22</v>
      </c>
      <c r="C73" s="1" t="s">
        <v>23</v>
      </c>
      <c r="D73" s="1" t="s">
        <v>77</v>
      </c>
      <c r="E73">
        <v>164</v>
      </c>
      <c r="F73">
        <v>16.13</v>
      </c>
      <c r="G73">
        <v>2645.32</v>
      </c>
      <c r="H73" s="10">
        <f t="shared" si="5"/>
        <v>12</v>
      </c>
      <c r="I73" s="10" t="b">
        <f t="shared" si="4"/>
        <v>0</v>
      </c>
      <c r="J73" s="7"/>
      <c r="K73" s="7"/>
    </row>
    <row r="74" spans="1:11">
      <c r="A74" s="1" t="s">
        <v>96</v>
      </c>
      <c r="B74" s="1" t="s">
        <v>12</v>
      </c>
      <c r="C74" s="1" t="s">
        <v>9</v>
      </c>
      <c r="D74" s="1" t="s">
        <v>47</v>
      </c>
      <c r="E74">
        <v>77</v>
      </c>
      <c r="F74">
        <v>10.66</v>
      </c>
      <c r="G74">
        <v>820.82</v>
      </c>
      <c r="H74" s="10">
        <f t="shared" si="5"/>
        <v>21</v>
      </c>
      <c r="I74" s="10" t="b">
        <f t="shared" si="4"/>
        <v>1</v>
      </c>
      <c r="J74" s="7"/>
      <c r="K74" s="7"/>
    </row>
    <row r="75" spans="1:11">
      <c r="A75" s="1" t="s">
        <v>97</v>
      </c>
      <c r="B75" s="1" t="s">
        <v>22</v>
      </c>
      <c r="C75" s="1" t="s">
        <v>52</v>
      </c>
      <c r="D75" s="1" t="s">
        <v>35</v>
      </c>
      <c r="E75">
        <v>96</v>
      </c>
      <c r="F75">
        <v>17.63</v>
      </c>
      <c r="G75">
        <v>1692.48</v>
      </c>
      <c r="H75" s="10">
        <f t="shared" si="5"/>
        <v>16</v>
      </c>
      <c r="I75" s="10" t="b">
        <f t="shared" si="4"/>
        <v>1</v>
      </c>
      <c r="J75" s="7"/>
      <c r="K75" s="7"/>
    </row>
    <row r="76" spans="1:11">
      <c r="A76" s="1" t="s">
        <v>98</v>
      </c>
      <c r="B76" s="1" t="s">
        <v>16</v>
      </c>
      <c r="C76" s="1" t="s">
        <v>46</v>
      </c>
      <c r="D76" s="1" t="s">
        <v>24</v>
      </c>
      <c r="E76">
        <v>96</v>
      </c>
      <c r="F76">
        <v>11.13</v>
      </c>
      <c r="G76">
        <v>1068.48</v>
      </c>
      <c r="H76" s="10">
        <f t="shared" si="5"/>
        <v>16</v>
      </c>
      <c r="I76" s="10" t="b">
        <f t="shared" si="4"/>
        <v>1</v>
      </c>
      <c r="J76" s="7"/>
      <c r="K76" s="7"/>
    </row>
    <row r="77" spans="1:11">
      <c r="A77" s="1" t="s">
        <v>99</v>
      </c>
      <c r="B77" s="1" t="s">
        <v>12</v>
      </c>
      <c r="C77" s="1" t="s">
        <v>32</v>
      </c>
      <c r="D77" s="1" t="s">
        <v>14</v>
      </c>
      <c r="E77">
        <v>103</v>
      </c>
      <c r="F77">
        <v>1.63</v>
      </c>
      <c r="G77">
        <v>167.89</v>
      </c>
      <c r="H77" s="10">
        <f t="shared" si="5"/>
        <v>15</v>
      </c>
      <c r="I77" s="10" t="b">
        <f t="shared" si="4"/>
        <v>0</v>
      </c>
      <c r="J77" s="7"/>
      <c r="K77" s="7"/>
    </row>
    <row r="78" spans="1:11">
      <c r="A78" s="1" t="s">
        <v>100</v>
      </c>
      <c r="B78" s="1" t="s">
        <v>8</v>
      </c>
      <c r="C78" s="1" t="s">
        <v>52</v>
      </c>
      <c r="D78" s="1" t="s">
        <v>20</v>
      </c>
      <c r="E78">
        <v>124</v>
      </c>
      <c r="F78">
        <v>8.2200000000000006</v>
      </c>
      <c r="G78">
        <v>1019.28</v>
      </c>
      <c r="H78" s="10">
        <f t="shared" si="5"/>
        <v>16</v>
      </c>
      <c r="I78" s="10" t="b">
        <f t="shared" si="4"/>
        <v>1</v>
      </c>
      <c r="J78" s="7"/>
      <c r="K78" s="7"/>
    </row>
    <row r="79" spans="1:11">
      <c r="A79" s="1" t="s">
        <v>101</v>
      </c>
      <c r="B79" s="1" t="s">
        <v>16</v>
      </c>
      <c r="C79" s="1" t="s">
        <v>26</v>
      </c>
      <c r="D79" s="1" t="s">
        <v>43</v>
      </c>
      <c r="E79">
        <v>124</v>
      </c>
      <c r="F79">
        <v>9.2899999999999991</v>
      </c>
      <c r="G79">
        <v>1151.96</v>
      </c>
      <c r="H79" s="10">
        <f t="shared" si="5"/>
        <v>19</v>
      </c>
      <c r="I79" s="10" t="b">
        <f t="shared" si="4"/>
        <v>1</v>
      </c>
      <c r="J79" s="7"/>
      <c r="K79" s="7"/>
    </row>
    <row r="80" spans="1:11">
      <c r="A80" s="1" t="s">
        <v>102</v>
      </c>
      <c r="B80" s="1" t="s">
        <v>12</v>
      </c>
      <c r="C80" s="1" t="s">
        <v>60</v>
      </c>
      <c r="D80" s="1" t="s">
        <v>35</v>
      </c>
      <c r="E80">
        <v>140</v>
      </c>
      <c r="F80">
        <v>15</v>
      </c>
      <c r="G80">
        <v>2100</v>
      </c>
      <c r="H80" s="10">
        <f t="shared" si="5"/>
        <v>10</v>
      </c>
      <c r="I80" s="10" t="b">
        <f t="shared" si="4"/>
        <v>0</v>
      </c>
      <c r="J80" s="7"/>
      <c r="K80" s="7"/>
    </row>
    <row r="81" spans="1:11">
      <c r="A81" s="1" t="s">
        <v>103</v>
      </c>
      <c r="B81" s="1" t="s">
        <v>19</v>
      </c>
      <c r="C81" s="1" t="s">
        <v>26</v>
      </c>
      <c r="D81" s="1" t="s">
        <v>77</v>
      </c>
      <c r="E81">
        <v>135</v>
      </c>
      <c r="F81">
        <v>6.93</v>
      </c>
      <c r="G81">
        <v>935.55</v>
      </c>
      <c r="H81" s="10">
        <f t="shared" si="5"/>
        <v>19</v>
      </c>
      <c r="I81" s="10" t="b">
        <f t="shared" si="4"/>
        <v>1</v>
      </c>
      <c r="J81" s="7"/>
      <c r="K81" s="7"/>
    </row>
    <row r="82" spans="1:11">
      <c r="A82" s="1" t="s">
        <v>96</v>
      </c>
      <c r="B82" s="1" t="s">
        <v>16</v>
      </c>
      <c r="C82" s="1" t="s">
        <v>26</v>
      </c>
      <c r="D82" s="1" t="s">
        <v>14</v>
      </c>
      <c r="E82">
        <v>180</v>
      </c>
      <c r="F82">
        <v>12.5</v>
      </c>
      <c r="G82">
        <v>2250</v>
      </c>
      <c r="H82" s="10">
        <f t="shared" si="5"/>
        <v>19</v>
      </c>
      <c r="I82" s="10" t="b">
        <f t="shared" si="4"/>
        <v>1</v>
      </c>
      <c r="J82" s="7"/>
      <c r="K82" s="7"/>
    </row>
    <row r="83" spans="1:11">
      <c r="A83" s="1" t="s">
        <v>104</v>
      </c>
      <c r="B83" s="1" t="s">
        <v>8</v>
      </c>
      <c r="C83" s="1" t="s">
        <v>60</v>
      </c>
      <c r="D83" s="1" t="s">
        <v>43</v>
      </c>
      <c r="E83">
        <v>54</v>
      </c>
      <c r="F83">
        <v>1.45</v>
      </c>
      <c r="G83">
        <v>78.3</v>
      </c>
      <c r="H83" s="10">
        <f t="shared" si="5"/>
        <v>10</v>
      </c>
      <c r="I83" s="10" t="b">
        <f t="shared" si="4"/>
        <v>0</v>
      </c>
      <c r="J83" s="7"/>
      <c r="K83" s="7"/>
    </row>
    <row r="84" spans="1:11">
      <c r="A84" s="1" t="s">
        <v>105</v>
      </c>
      <c r="B84" s="1" t="s">
        <v>12</v>
      </c>
      <c r="C84" s="1" t="s">
        <v>26</v>
      </c>
      <c r="D84" s="1" t="s">
        <v>24</v>
      </c>
      <c r="E84">
        <v>100</v>
      </c>
      <c r="F84">
        <v>2.42</v>
      </c>
      <c r="G84">
        <v>242</v>
      </c>
      <c r="H84" s="10">
        <f t="shared" si="5"/>
        <v>19</v>
      </c>
      <c r="I84" s="10" t="b">
        <f t="shared" si="4"/>
        <v>1</v>
      </c>
      <c r="J84" s="7"/>
      <c r="K84" s="7"/>
    </row>
    <row r="85" spans="1:11">
      <c r="A85" s="1" t="s">
        <v>106</v>
      </c>
      <c r="B85" s="1" t="s">
        <v>12</v>
      </c>
      <c r="C85" s="1" t="s">
        <v>17</v>
      </c>
      <c r="D85" s="1" t="s">
        <v>24</v>
      </c>
      <c r="E85">
        <v>117</v>
      </c>
      <c r="F85">
        <v>7.69</v>
      </c>
      <c r="G85">
        <v>899.73</v>
      </c>
      <c r="H85" s="10">
        <f t="shared" si="5"/>
        <v>17</v>
      </c>
      <c r="I85" s="10" t="b">
        <f t="shared" si="4"/>
        <v>1</v>
      </c>
      <c r="J85" s="7"/>
      <c r="K85" s="7"/>
    </row>
    <row r="86" spans="1:11">
      <c r="A86" s="1" t="s">
        <v>107</v>
      </c>
      <c r="B86" s="1" t="s">
        <v>8</v>
      </c>
      <c r="C86" s="1" t="s">
        <v>26</v>
      </c>
      <c r="D86" s="1" t="s">
        <v>35</v>
      </c>
      <c r="E86">
        <v>82</v>
      </c>
      <c r="F86">
        <v>15.88</v>
      </c>
      <c r="G86">
        <v>1302.1600000000001</v>
      </c>
      <c r="H86" s="10">
        <f t="shared" si="5"/>
        <v>19</v>
      </c>
      <c r="I86" s="10" t="b">
        <f t="shared" si="4"/>
        <v>1</v>
      </c>
      <c r="J86" s="7"/>
      <c r="K86" s="7"/>
    </row>
    <row r="87" spans="1:11">
      <c r="A87" s="1" t="s">
        <v>108</v>
      </c>
      <c r="B87" s="1" t="s">
        <v>12</v>
      </c>
      <c r="C87" s="1" t="s">
        <v>32</v>
      </c>
      <c r="D87" s="1" t="s">
        <v>47</v>
      </c>
      <c r="E87">
        <v>121</v>
      </c>
      <c r="F87">
        <v>11.82</v>
      </c>
      <c r="G87">
        <v>1430.22</v>
      </c>
      <c r="H87" s="10">
        <f t="shared" si="5"/>
        <v>15</v>
      </c>
      <c r="I87" s="10" t="b">
        <f t="shared" si="4"/>
        <v>0</v>
      </c>
      <c r="J87" s="7"/>
      <c r="K87" s="7"/>
    </row>
    <row r="88" spans="1:11">
      <c r="A88" s="1" t="s">
        <v>109</v>
      </c>
      <c r="B88" s="1" t="s">
        <v>16</v>
      </c>
      <c r="C88" s="1" t="s">
        <v>52</v>
      </c>
      <c r="D88" s="1" t="s">
        <v>33</v>
      </c>
      <c r="E88">
        <v>81</v>
      </c>
      <c r="F88">
        <v>10.9</v>
      </c>
      <c r="G88">
        <v>882.9</v>
      </c>
      <c r="H88" s="10">
        <f t="shared" si="5"/>
        <v>16</v>
      </c>
      <c r="I88" s="10" t="b">
        <f t="shared" si="4"/>
        <v>1</v>
      </c>
      <c r="J88" s="7"/>
      <c r="K88" s="7"/>
    </row>
    <row r="89" spans="1:11">
      <c r="A89" s="1" t="s">
        <v>110</v>
      </c>
      <c r="B89" s="1" t="s">
        <v>12</v>
      </c>
      <c r="C89" s="1" t="s">
        <v>40</v>
      </c>
      <c r="D89" s="1" t="s">
        <v>77</v>
      </c>
      <c r="E89">
        <v>75</v>
      </c>
      <c r="F89">
        <v>6.68</v>
      </c>
      <c r="G89">
        <v>501</v>
      </c>
      <c r="H89" s="10">
        <f t="shared" si="5"/>
        <v>11</v>
      </c>
      <c r="I89" s="10" t="b">
        <f t="shared" si="4"/>
        <v>0</v>
      </c>
      <c r="J89" s="7"/>
      <c r="K89" s="7"/>
    </row>
    <row r="90" spans="1:11">
      <c r="A90" s="1" t="s">
        <v>111</v>
      </c>
      <c r="B90" s="1" t="s">
        <v>12</v>
      </c>
      <c r="C90" s="1" t="s">
        <v>17</v>
      </c>
      <c r="D90" s="1" t="s">
        <v>24</v>
      </c>
      <c r="E90">
        <v>20</v>
      </c>
      <c r="F90">
        <v>11.82</v>
      </c>
      <c r="G90">
        <v>236.4</v>
      </c>
      <c r="H90" s="10">
        <f t="shared" si="5"/>
        <v>17</v>
      </c>
      <c r="I90" s="10" t="b">
        <f t="shared" si="4"/>
        <v>1</v>
      </c>
      <c r="J90" s="7"/>
      <c r="K90" s="7"/>
    </row>
    <row r="91" spans="1:11">
      <c r="A91" s="1" t="s">
        <v>112</v>
      </c>
      <c r="B91" s="1" t="s">
        <v>19</v>
      </c>
      <c r="C91" s="1" t="s">
        <v>17</v>
      </c>
      <c r="D91" s="1" t="s">
        <v>35</v>
      </c>
      <c r="E91">
        <v>145</v>
      </c>
      <c r="F91">
        <v>14.3</v>
      </c>
      <c r="G91">
        <v>2073.5</v>
      </c>
      <c r="H91" s="10">
        <f t="shared" si="5"/>
        <v>17</v>
      </c>
      <c r="I91" s="10" t="b">
        <f t="shared" si="4"/>
        <v>1</v>
      </c>
      <c r="J91" s="7"/>
      <c r="K91" s="7"/>
    </row>
    <row r="92" spans="1:11">
      <c r="A92" s="1" t="s">
        <v>80</v>
      </c>
      <c r="B92" s="1" t="s">
        <v>22</v>
      </c>
      <c r="C92" s="1" t="s">
        <v>40</v>
      </c>
      <c r="D92" s="1" t="s">
        <v>38</v>
      </c>
      <c r="E92">
        <v>91</v>
      </c>
      <c r="F92">
        <v>15.42</v>
      </c>
      <c r="G92">
        <v>1403.22</v>
      </c>
      <c r="H92" s="10">
        <f t="shared" si="5"/>
        <v>11</v>
      </c>
      <c r="I92" s="10" t="b">
        <f t="shared" si="4"/>
        <v>0</v>
      </c>
      <c r="J92" s="7"/>
      <c r="K92" s="7"/>
    </row>
    <row r="93" spans="1:11">
      <c r="A93" s="1" t="s">
        <v>113</v>
      </c>
      <c r="B93" s="1" t="s">
        <v>22</v>
      </c>
      <c r="C93" s="1" t="s">
        <v>52</v>
      </c>
      <c r="D93" s="1" t="s">
        <v>33</v>
      </c>
      <c r="E93">
        <v>79</v>
      </c>
      <c r="F93">
        <v>9.58</v>
      </c>
      <c r="G93">
        <v>756.82</v>
      </c>
      <c r="H93" s="10">
        <f t="shared" si="5"/>
        <v>16</v>
      </c>
      <c r="I93" s="10" t="b">
        <f t="shared" si="4"/>
        <v>1</v>
      </c>
      <c r="J93" s="7"/>
      <c r="K93" s="7"/>
    </row>
    <row r="94" spans="1:11">
      <c r="A94" s="1" t="s">
        <v>114</v>
      </c>
      <c r="B94" s="1" t="s">
        <v>8</v>
      </c>
      <c r="C94" s="1" t="s">
        <v>9</v>
      </c>
      <c r="D94" s="1" t="s">
        <v>14</v>
      </c>
      <c r="E94">
        <v>177</v>
      </c>
      <c r="F94">
        <v>8.9499999999999993</v>
      </c>
      <c r="G94">
        <v>1584.15</v>
      </c>
      <c r="H94" s="10">
        <f t="shared" si="5"/>
        <v>21</v>
      </c>
      <c r="I94" s="10" t="b">
        <f t="shared" si="4"/>
        <v>1</v>
      </c>
      <c r="J94" s="7"/>
      <c r="K94" s="7"/>
    </row>
    <row r="95" spans="1:11">
      <c r="A95" s="1" t="s">
        <v>115</v>
      </c>
      <c r="B95" s="1" t="s">
        <v>22</v>
      </c>
      <c r="C95" s="1" t="s">
        <v>9</v>
      </c>
      <c r="D95" s="1" t="s">
        <v>47</v>
      </c>
      <c r="E95">
        <v>169</v>
      </c>
      <c r="F95">
        <v>18.62</v>
      </c>
      <c r="G95">
        <v>3146.78</v>
      </c>
      <c r="H95" s="10">
        <f t="shared" si="5"/>
        <v>21</v>
      </c>
      <c r="I95" s="10" t="b">
        <f t="shared" si="4"/>
        <v>1</v>
      </c>
      <c r="J95" s="7"/>
      <c r="K95" s="7"/>
    </row>
    <row r="96" spans="1:11">
      <c r="A96" s="1" t="s">
        <v>116</v>
      </c>
      <c r="B96" s="1" t="s">
        <v>12</v>
      </c>
      <c r="C96" s="1" t="s">
        <v>9</v>
      </c>
      <c r="D96" s="1" t="s">
        <v>43</v>
      </c>
      <c r="E96">
        <v>103</v>
      </c>
      <c r="F96">
        <v>3.74</v>
      </c>
      <c r="G96">
        <v>385.22</v>
      </c>
      <c r="H96" s="10">
        <f t="shared" si="5"/>
        <v>21</v>
      </c>
      <c r="I96" s="10" t="b">
        <f t="shared" si="4"/>
        <v>1</v>
      </c>
      <c r="J96" s="7"/>
      <c r="K96" s="7"/>
    </row>
    <row r="97" spans="1:11">
      <c r="A97" s="1" t="s">
        <v>117</v>
      </c>
      <c r="B97" s="1" t="s">
        <v>22</v>
      </c>
      <c r="C97" s="1" t="s">
        <v>60</v>
      </c>
      <c r="D97" s="1" t="s">
        <v>43</v>
      </c>
      <c r="E97">
        <v>67</v>
      </c>
      <c r="F97">
        <v>12.98</v>
      </c>
      <c r="G97">
        <v>869.66</v>
      </c>
      <c r="H97" s="10">
        <f t="shared" si="5"/>
        <v>10</v>
      </c>
      <c r="I97" s="10" t="b">
        <f t="shared" si="4"/>
        <v>0</v>
      </c>
      <c r="J97" s="7"/>
      <c r="K97" s="7"/>
    </row>
    <row r="98" spans="1:11">
      <c r="A98" s="1" t="s">
        <v>67</v>
      </c>
      <c r="B98" s="1" t="s">
        <v>16</v>
      </c>
      <c r="C98" s="1" t="s">
        <v>32</v>
      </c>
      <c r="D98" s="1" t="s">
        <v>35</v>
      </c>
      <c r="E98">
        <v>148</v>
      </c>
      <c r="F98">
        <v>2.71</v>
      </c>
      <c r="G98">
        <v>401.08</v>
      </c>
      <c r="H98" s="10">
        <f t="shared" si="5"/>
        <v>15</v>
      </c>
      <c r="I98" s="10" t="b">
        <f t="shared" si="4"/>
        <v>0</v>
      </c>
      <c r="J98" s="7"/>
      <c r="K98" s="7"/>
    </row>
    <row r="99" spans="1:11">
      <c r="A99" s="1" t="s">
        <v>118</v>
      </c>
      <c r="B99" s="1" t="s">
        <v>8</v>
      </c>
      <c r="C99" s="1" t="s">
        <v>52</v>
      </c>
      <c r="D99" s="1" t="s">
        <v>35</v>
      </c>
      <c r="E99">
        <v>184</v>
      </c>
      <c r="F99">
        <v>4.3</v>
      </c>
      <c r="G99">
        <v>791.2</v>
      </c>
      <c r="H99" s="10">
        <f t="shared" si="5"/>
        <v>16</v>
      </c>
      <c r="I99" s="10" t="b">
        <f t="shared" si="4"/>
        <v>1</v>
      </c>
      <c r="J99" s="7"/>
      <c r="K99" s="7"/>
    </row>
    <row r="100" spans="1:11">
      <c r="A100" s="1" t="s">
        <v>119</v>
      </c>
      <c r="B100" s="1" t="s">
        <v>19</v>
      </c>
      <c r="C100" s="1" t="s">
        <v>40</v>
      </c>
      <c r="D100" s="1" t="s">
        <v>77</v>
      </c>
      <c r="E100">
        <v>20</v>
      </c>
      <c r="F100">
        <v>10.199999999999999</v>
      </c>
      <c r="G100">
        <v>204</v>
      </c>
      <c r="H100" s="10">
        <f t="shared" si="5"/>
        <v>11</v>
      </c>
      <c r="I100" s="10" t="b">
        <f t="shared" si="4"/>
        <v>0</v>
      </c>
      <c r="J100" s="7"/>
      <c r="K100" s="7"/>
    </row>
    <row r="101" spans="1:11">
      <c r="A101" s="1" t="s">
        <v>120</v>
      </c>
      <c r="B101" s="1" t="s">
        <v>19</v>
      </c>
      <c r="C101" s="1" t="s">
        <v>13</v>
      </c>
      <c r="D101" s="1" t="s">
        <v>43</v>
      </c>
      <c r="E101">
        <v>114</v>
      </c>
      <c r="F101">
        <v>9.08</v>
      </c>
      <c r="G101">
        <v>1035.1199999999999</v>
      </c>
      <c r="H101" s="10">
        <f t="shared" si="5"/>
        <v>12</v>
      </c>
      <c r="I101" s="10" t="b">
        <f t="shared" si="4"/>
        <v>0</v>
      </c>
      <c r="J101" s="7"/>
      <c r="K101" s="7"/>
    </row>
    <row r="102" spans="1:11">
      <c r="A102" s="1" t="s">
        <v>121</v>
      </c>
      <c r="B102" s="1" t="s">
        <v>12</v>
      </c>
      <c r="C102" s="1" t="s">
        <v>9</v>
      </c>
      <c r="D102" s="1" t="s">
        <v>38</v>
      </c>
      <c r="E102">
        <v>56</v>
      </c>
      <c r="F102">
        <v>18.920000000000002</v>
      </c>
      <c r="G102">
        <v>1059.52</v>
      </c>
      <c r="H102" s="10">
        <f t="shared" si="5"/>
        <v>21</v>
      </c>
      <c r="I102" s="10" t="b">
        <f t="shared" si="4"/>
        <v>1</v>
      </c>
      <c r="J102" s="7"/>
      <c r="K102" s="7"/>
    </row>
    <row r="103" spans="1:11">
      <c r="A103" s="1" t="s">
        <v>122</v>
      </c>
      <c r="B103" s="1" t="s">
        <v>12</v>
      </c>
      <c r="C103" s="1" t="s">
        <v>13</v>
      </c>
      <c r="D103" s="1" t="s">
        <v>20</v>
      </c>
      <c r="E103">
        <v>65</v>
      </c>
      <c r="F103">
        <v>9.36</v>
      </c>
      <c r="G103">
        <v>608.4</v>
      </c>
      <c r="H103" s="10">
        <f t="shared" si="5"/>
        <v>12</v>
      </c>
      <c r="I103" s="10" t="b">
        <f t="shared" si="4"/>
        <v>0</v>
      </c>
      <c r="J103" s="7"/>
      <c r="K103" s="7"/>
    </row>
    <row r="104" spans="1:11">
      <c r="A104" s="1" t="s">
        <v>123</v>
      </c>
      <c r="B104" s="1" t="s">
        <v>19</v>
      </c>
      <c r="C104" s="1" t="s">
        <v>17</v>
      </c>
      <c r="D104" s="1" t="s">
        <v>14</v>
      </c>
      <c r="E104">
        <v>59</v>
      </c>
      <c r="F104">
        <v>8.84</v>
      </c>
      <c r="G104">
        <v>521.55999999999995</v>
      </c>
      <c r="H104" s="10">
        <f t="shared" si="5"/>
        <v>17</v>
      </c>
      <c r="I104" s="10" t="b">
        <f t="shared" si="4"/>
        <v>1</v>
      </c>
      <c r="J104" s="7"/>
      <c r="K104" s="7"/>
    </row>
    <row r="105" spans="1:11">
      <c r="A105" s="1" t="s">
        <v>124</v>
      </c>
      <c r="B105" s="1" t="s">
        <v>8</v>
      </c>
      <c r="C105" s="1" t="s">
        <v>13</v>
      </c>
      <c r="D105" s="1" t="s">
        <v>33</v>
      </c>
      <c r="E105">
        <v>29</v>
      </c>
      <c r="F105">
        <v>10.53</v>
      </c>
      <c r="G105">
        <v>305.37</v>
      </c>
      <c r="H105" s="10">
        <f t="shared" si="5"/>
        <v>12</v>
      </c>
      <c r="I105" s="10" t="b">
        <f t="shared" si="4"/>
        <v>0</v>
      </c>
      <c r="J105" s="7"/>
      <c r="K105" s="7"/>
    </row>
    <row r="106" spans="1:11">
      <c r="A106" s="1" t="s">
        <v>125</v>
      </c>
      <c r="B106" s="1" t="s">
        <v>19</v>
      </c>
      <c r="C106" s="1" t="s">
        <v>40</v>
      </c>
      <c r="D106" s="1" t="s">
        <v>14</v>
      </c>
      <c r="E106">
        <v>46</v>
      </c>
      <c r="F106">
        <v>10.67</v>
      </c>
      <c r="G106">
        <v>490.82</v>
      </c>
      <c r="H106" s="10">
        <f t="shared" si="5"/>
        <v>11</v>
      </c>
      <c r="I106" s="10" t="b">
        <f t="shared" si="4"/>
        <v>0</v>
      </c>
      <c r="J106" s="7"/>
      <c r="K106" s="7"/>
    </row>
    <row r="107" spans="1:11">
      <c r="A107" s="1" t="s">
        <v>126</v>
      </c>
      <c r="B107" s="1" t="s">
        <v>22</v>
      </c>
      <c r="C107" s="1" t="s">
        <v>13</v>
      </c>
      <c r="D107" s="1" t="s">
        <v>10</v>
      </c>
      <c r="E107">
        <v>153</v>
      </c>
      <c r="F107">
        <v>4.1399999999999997</v>
      </c>
      <c r="G107">
        <v>633.41999999999996</v>
      </c>
      <c r="H107" s="10">
        <f t="shared" si="5"/>
        <v>12</v>
      </c>
      <c r="I107" s="10" t="b">
        <f t="shared" si="4"/>
        <v>0</v>
      </c>
      <c r="J107" s="7"/>
      <c r="K107" s="7"/>
    </row>
    <row r="108" spans="1:11">
      <c r="A108" s="1" t="s">
        <v>127</v>
      </c>
      <c r="B108" s="1" t="s">
        <v>22</v>
      </c>
      <c r="C108" s="1" t="s">
        <v>17</v>
      </c>
      <c r="D108" s="1" t="s">
        <v>10</v>
      </c>
      <c r="E108">
        <v>40</v>
      </c>
      <c r="F108">
        <v>1.27</v>
      </c>
      <c r="G108">
        <v>50.8</v>
      </c>
      <c r="H108" s="10">
        <f t="shared" si="5"/>
        <v>17</v>
      </c>
      <c r="I108" s="10" t="b">
        <f t="shared" si="4"/>
        <v>1</v>
      </c>
      <c r="J108" s="7"/>
      <c r="K108" s="7"/>
    </row>
    <row r="109" spans="1:11">
      <c r="A109" s="1" t="s">
        <v>115</v>
      </c>
      <c r="B109" s="1" t="s">
        <v>16</v>
      </c>
      <c r="C109" s="1" t="s">
        <v>9</v>
      </c>
      <c r="D109" s="1" t="s">
        <v>77</v>
      </c>
      <c r="E109">
        <v>30</v>
      </c>
      <c r="F109">
        <v>7.46</v>
      </c>
      <c r="G109">
        <v>223.8</v>
      </c>
      <c r="H109" s="10">
        <f t="shared" si="5"/>
        <v>21</v>
      </c>
      <c r="I109" s="10" t="b">
        <f t="shared" si="4"/>
        <v>1</v>
      </c>
      <c r="J109" s="7"/>
      <c r="K109" s="7"/>
    </row>
    <row r="110" spans="1:11">
      <c r="A110" s="1" t="s">
        <v>128</v>
      </c>
      <c r="B110" s="1" t="s">
        <v>16</v>
      </c>
      <c r="C110" s="1" t="s">
        <v>23</v>
      </c>
      <c r="D110" s="1" t="s">
        <v>77</v>
      </c>
      <c r="E110">
        <v>51</v>
      </c>
      <c r="F110">
        <v>15.16</v>
      </c>
      <c r="G110">
        <v>773.16</v>
      </c>
      <c r="H110" s="10">
        <f t="shared" si="5"/>
        <v>12</v>
      </c>
      <c r="I110" s="10" t="b">
        <f t="shared" si="4"/>
        <v>0</v>
      </c>
      <c r="J110" s="7"/>
      <c r="K110" s="7"/>
    </row>
    <row r="111" spans="1:11">
      <c r="A111" s="1" t="s">
        <v>129</v>
      </c>
      <c r="B111" s="1" t="s">
        <v>19</v>
      </c>
      <c r="C111" s="1" t="s">
        <v>26</v>
      </c>
      <c r="D111" s="1" t="s">
        <v>33</v>
      </c>
      <c r="E111">
        <v>14</v>
      </c>
      <c r="F111">
        <v>2.37</v>
      </c>
      <c r="G111">
        <v>33.18</v>
      </c>
      <c r="H111" s="10">
        <f t="shared" si="5"/>
        <v>19</v>
      </c>
      <c r="I111" s="10" t="b">
        <f t="shared" si="4"/>
        <v>1</v>
      </c>
      <c r="J111" s="7"/>
      <c r="K111" s="7"/>
    </row>
    <row r="112" spans="1:11">
      <c r="A112" s="1" t="s">
        <v>130</v>
      </c>
      <c r="B112" s="1" t="s">
        <v>12</v>
      </c>
      <c r="C112" s="1" t="s">
        <v>13</v>
      </c>
      <c r="D112" s="1" t="s">
        <v>43</v>
      </c>
      <c r="E112">
        <v>116</v>
      </c>
      <c r="F112">
        <v>9.93</v>
      </c>
      <c r="G112">
        <v>1151.8800000000001</v>
      </c>
      <c r="H112" s="10">
        <f t="shared" si="5"/>
        <v>12</v>
      </c>
      <c r="I112" s="10" t="b">
        <f t="shared" si="4"/>
        <v>0</v>
      </c>
      <c r="J112" s="7"/>
      <c r="K112" s="7"/>
    </row>
    <row r="113" spans="1:11">
      <c r="A113" s="1" t="s">
        <v>31</v>
      </c>
      <c r="B113" s="1" t="s">
        <v>8</v>
      </c>
      <c r="C113" s="1" t="s">
        <v>9</v>
      </c>
      <c r="D113" s="1" t="s">
        <v>47</v>
      </c>
      <c r="E113">
        <v>196</v>
      </c>
      <c r="F113">
        <v>6.36</v>
      </c>
      <c r="G113">
        <v>1246.56</v>
      </c>
      <c r="H113" s="10">
        <f t="shared" si="5"/>
        <v>21</v>
      </c>
      <c r="I113" s="10" t="b">
        <f t="shared" si="4"/>
        <v>1</v>
      </c>
      <c r="J113" s="7"/>
      <c r="K113" s="7"/>
    </row>
    <row r="114" spans="1:11">
      <c r="A114" s="1" t="s">
        <v>131</v>
      </c>
      <c r="B114" s="1" t="s">
        <v>12</v>
      </c>
      <c r="C114" s="1" t="s">
        <v>46</v>
      </c>
      <c r="D114" s="1" t="s">
        <v>24</v>
      </c>
      <c r="E114">
        <v>73</v>
      </c>
      <c r="F114">
        <v>7.35</v>
      </c>
      <c r="G114">
        <v>536.54999999999995</v>
      </c>
      <c r="H114" s="10">
        <f t="shared" si="5"/>
        <v>16</v>
      </c>
      <c r="I114" s="10" t="b">
        <f t="shared" si="4"/>
        <v>1</v>
      </c>
      <c r="J114" s="7"/>
      <c r="K114" s="7"/>
    </row>
    <row r="115" spans="1:11">
      <c r="A115" s="1" t="s">
        <v>132</v>
      </c>
      <c r="B115" s="1" t="s">
        <v>19</v>
      </c>
      <c r="C115" s="1" t="s">
        <v>52</v>
      </c>
      <c r="D115" s="1" t="s">
        <v>10</v>
      </c>
      <c r="E115">
        <v>60</v>
      </c>
      <c r="F115">
        <v>2.97</v>
      </c>
      <c r="G115">
        <v>178.2</v>
      </c>
      <c r="H115" s="10">
        <f t="shared" si="5"/>
        <v>16</v>
      </c>
      <c r="I115" s="10" t="b">
        <f t="shared" si="4"/>
        <v>1</v>
      </c>
      <c r="J115" s="7"/>
      <c r="K115" s="7"/>
    </row>
    <row r="116" spans="1:11">
      <c r="A116" s="1" t="s">
        <v>133</v>
      </c>
      <c r="B116" s="1" t="s">
        <v>19</v>
      </c>
      <c r="C116" s="1" t="s">
        <v>52</v>
      </c>
      <c r="D116" s="1" t="s">
        <v>43</v>
      </c>
      <c r="E116">
        <v>126</v>
      </c>
      <c r="F116">
        <v>14.23</v>
      </c>
      <c r="G116">
        <v>1792.98</v>
      </c>
      <c r="H116" s="10">
        <f t="shared" si="5"/>
        <v>16</v>
      </c>
      <c r="I116" s="10" t="b">
        <f t="shared" si="4"/>
        <v>1</v>
      </c>
      <c r="J116" s="7"/>
      <c r="K116" s="7"/>
    </row>
    <row r="117" spans="1:11">
      <c r="A117" s="1" t="s">
        <v>134</v>
      </c>
      <c r="B117" s="1" t="s">
        <v>19</v>
      </c>
      <c r="C117" s="1" t="s">
        <v>46</v>
      </c>
      <c r="D117" s="1" t="s">
        <v>43</v>
      </c>
      <c r="E117">
        <v>139</v>
      </c>
      <c r="F117">
        <v>6.36</v>
      </c>
      <c r="G117">
        <v>884.04</v>
      </c>
      <c r="H117" s="10">
        <f t="shared" si="5"/>
        <v>16</v>
      </c>
      <c r="I117" s="10" t="b">
        <f t="shared" si="4"/>
        <v>1</v>
      </c>
      <c r="J117" s="7"/>
      <c r="K117" s="7"/>
    </row>
    <row r="118" spans="1:11">
      <c r="A118" s="1" t="s">
        <v>104</v>
      </c>
      <c r="B118" s="1" t="s">
        <v>16</v>
      </c>
      <c r="C118" s="1" t="s">
        <v>32</v>
      </c>
      <c r="D118" s="1" t="s">
        <v>33</v>
      </c>
      <c r="E118">
        <v>66</v>
      </c>
      <c r="F118">
        <v>18.07</v>
      </c>
      <c r="G118">
        <v>1192.6199999999999</v>
      </c>
      <c r="H118" s="10">
        <f t="shared" si="5"/>
        <v>15</v>
      </c>
      <c r="I118" s="10" t="b">
        <f t="shared" si="4"/>
        <v>0</v>
      </c>
      <c r="J118" s="7"/>
      <c r="K118" s="7"/>
    </row>
    <row r="119" spans="1:11">
      <c r="A119" s="1" t="s">
        <v>135</v>
      </c>
      <c r="B119" s="1" t="s">
        <v>16</v>
      </c>
      <c r="C119" s="1" t="s">
        <v>9</v>
      </c>
      <c r="D119" s="1" t="s">
        <v>24</v>
      </c>
      <c r="E119">
        <v>101</v>
      </c>
      <c r="F119">
        <v>10.67</v>
      </c>
      <c r="G119">
        <v>1077.67</v>
      </c>
      <c r="H119" s="10">
        <f t="shared" si="5"/>
        <v>21</v>
      </c>
      <c r="I119" s="10" t="b">
        <f t="shared" si="4"/>
        <v>1</v>
      </c>
      <c r="J119" s="7"/>
      <c r="K119" s="7"/>
    </row>
    <row r="120" spans="1:11">
      <c r="A120" s="1" t="s">
        <v>136</v>
      </c>
      <c r="B120" s="1" t="s">
        <v>16</v>
      </c>
      <c r="C120" s="1" t="s">
        <v>46</v>
      </c>
      <c r="D120" s="1" t="s">
        <v>35</v>
      </c>
      <c r="E120">
        <v>181</v>
      </c>
      <c r="F120">
        <v>18.899999999999999</v>
      </c>
      <c r="G120">
        <v>3420.9</v>
      </c>
      <c r="H120" s="10">
        <f t="shared" si="5"/>
        <v>16</v>
      </c>
      <c r="I120" s="10" t="b">
        <f t="shared" si="4"/>
        <v>1</v>
      </c>
      <c r="J120" s="7"/>
      <c r="K120" s="7"/>
    </row>
    <row r="121" spans="1:11">
      <c r="A121" s="1" t="s">
        <v>75</v>
      </c>
      <c r="B121" s="1" t="s">
        <v>16</v>
      </c>
      <c r="C121" s="1" t="s">
        <v>32</v>
      </c>
      <c r="D121" s="1" t="s">
        <v>33</v>
      </c>
      <c r="E121">
        <v>65</v>
      </c>
      <c r="F121">
        <v>5.1100000000000003</v>
      </c>
      <c r="G121">
        <v>332.15</v>
      </c>
      <c r="H121" s="10">
        <f t="shared" si="5"/>
        <v>15</v>
      </c>
      <c r="I121" s="10" t="b">
        <f t="shared" si="4"/>
        <v>0</v>
      </c>
      <c r="J121" s="7"/>
      <c r="K121" s="7"/>
    </row>
    <row r="122" spans="1:11">
      <c r="A122" s="1" t="s">
        <v>137</v>
      </c>
      <c r="B122" s="1" t="s">
        <v>8</v>
      </c>
      <c r="C122" s="1" t="s">
        <v>26</v>
      </c>
      <c r="D122" s="1" t="s">
        <v>20</v>
      </c>
      <c r="E122">
        <v>77</v>
      </c>
      <c r="F122">
        <v>7.45</v>
      </c>
      <c r="G122">
        <v>573.65</v>
      </c>
      <c r="H122" s="10">
        <f t="shared" si="5"/>
        <v>19</v>
      </c>
      <c r="I122" s="10" t="b">
        <f t="shared" si="4"/>
        <v>1</v>
      </c>
      <c r="J122" s="7"/>
      <c r="K122" s="7"/>
    </row>
    <row r="123" spans="1:11">
      <c r="A123" s="1" t="s">
        <v>137</v>
      </c>
      <c r="B123" s="1" t="s">
        <v>22</v>
      </c>
      <c r="C123" s="1" t="s">
        <v>32</v>
      </c>
      <c r="D123" s="1" t="s">
        <v>77</v>
      </c>
      <c r="E123">
        <v>83</v>
      </c>
      <c r="F123">
        <v>13.5</v>
      </c>
      <c r="G123">
        <v>1120.5</v>
      </c>
      <c r="H123" s="10">
        <f t="shared" si="5"/>
        <v>15</v>
      </c>
      <c r="I123" s="10" t="b">
        <f t="shared" si="4"/>
        <v>0</v>
      </c>
      <c r="J123" s="7"/>
      <c r="K123" s="7"/>
    </row>
    <row r="124" spans="1:11">
      <c r="A124" s="1" t="s">
        <v>138</v>
      </c>
      <c r="B124" s="1" t="s">
        <v>16</v>
      </c>
      <c r="C124" s="1" t="s">
        <v>46</v>
      </c>
      <c r="D124" s="1" t="s">
        <v>38</v>
      </c>
      <c r="E124">
        <v>109</v>
      </c>
      <c r="F124">
        <v>19.23</v>
      </c>
      <c r="G124">
        <v>2096.0700000000002</v>
      </c>
      <c r="H124" s="10">
        <f t="shared" si="5"/>
        <v>16</v>
      </c>
      <c r="I124" s="10" t="b">
        <f t="shared" si="4"/>
        <v>1</v>
      </c>
      <c r="J124" s="7"/>
      <c r="K124" s="7"/>
    </row>
    <row r="125" spans="1:11">
      <c r="A125" s="1" t="s">
        <v>139</v>
      </c>
      <c r="B125" s="1" t="s">
        <v>16</v>
      </c>
      <c r="C125" s="1" t="s">
        <v>9</v>
      </c>
      <c r="D125" s="1" t="s">
        <v>77</v>
      </c>
      <c r="E125">
        <v>186</v>
      </c>
      <c r="F125">
        <v>14.48</v>
      </c>
      <c r="G125">
        <v>2693.28</v>
      </c>
      <c r="H125" s="10">
        <f t="shared" si="5"/>
        <v>21</v>
      </c>
      <c r="I125" s="10" t="b">
        <f t="shared" si="4"/>
        <v>1</v>
      </c>
      <c r="J125" s="7"/>
      <c r="K125" s="7"/>
    </row>
    <row r="126" spans="1:11">
      <c r="A126" s="1" t="s">
        <v>116</v>
      </c>
      <c r="B126" s="1" t="s">
        <v>22</v>
      </c>
      <c r="C126" s="1" t="s">
        <v>23</v>
      </c>
      <c r="D126" s="1" t="s">
        <v>77</v>
      </c>
      <c r="E126">
        <v>45</v>
      </c>
      <c r="F126">
        <v>2.06</v>
      </c>
      <c r="G126">
        <v>92.7</v>
      </c>
      <c r="H126" s="10">
        <f t="shared" si="5"/>
        <v>12</v>
      </c>
      <c r="I126" s="10" t="b">
        <f t="shared" si="4"/>
        <v>0</v>
      </c>
      <c r="J126" s="7"/>
      <c r="K126" s="7"/>
    </row>
    <row r="127" spans="1:11">
      <c r="A127" s="1" t="s">
        <v>107</v>
      </c>
      <c r="B127" s="1" t="s">
        <v>22</v>
      </c>
      <c r="C127" s="1" t="s">
        <v>26</v>
      </c>
      <c r="D127" s="1" t="s">
        <v>20</v>
      </c>
      <c r="E127">
        <v>84</v>
      </c>
      <c r="F127">
        <v>19.77</v>
      </c>
      <c r="G127">
        <v>1660.68</v>
      </c>
      <c r="H127" s="10">
        <f t="shared" si="5"/>
        <v>19</v>
      </c>
      <c r="I127" s="10" t="b">
        <f t="shared" si="4"/>
        <v>1</v>
      </c>
      <c r="J127" s="7"/>
      <c r="K127" s="7"/>
    </row>
    <row r="128" spans="1:11">
      <c r="A128" s="1" t="s">
        <v>140</v>
      </c>
      <c r="B128" s="1" t="s">
        <v>19</v>
      </c>
      <c r="C128" s="1" t="s">
        <v>46</v>
      </c>
      <c r="D128" s="1" t="s">
        <v>14</v>
      </c>
      <c r="E128">
        <v>68</v>
      </c>
      <c r="F128">
        <v>4.3899999999999997</v>
      </c>
      <c r="G128">
        <v>298.52</v>
      </c>
      <c r="H128" s="10">
        <f t="shared" si="5"/>
        <v>16</v>
      </c>
      <c r="I128" s="10" t="b">
        <f t="shared" si="4"/>
        <v>1</v>
      </c>
      <c r="J128" s="7"/>
      <c r="K128" s="7"/>
    </row>
    <row r="129" spans="1:11">
      <c r="A129" s="1" t="s">
        <v>132</v>
      </c>
      <c r="B129" s="1" t="s">
        <v>22</v>
      </c>
      <c r="C129" s="1" t="s">
        <v>40</v>
      </c>
      <c r="D129" s="1" t="s">
        <v>14</v>
      </c>
      <c r="E129">
        <v>196</v>
      </c>
      <c r="F129">
        <v>18.07</v>
      </c>
      <c r="G129">
        <v>3541.72</v>
      </c>
      <c r="H129" s="10">
        <f t="shared" si="5"/>
        <v>11</v>
      </c>
      <c r="I129" s="10" t="b">
        <f t="shared" si="4"/>
        <v>0</v>
      </c>
      <c r="J129" s="7"/>
      <c r="K129" s="7"/>
    </row>
    <row r="130" spans="1:11">
      <c r="A130" s="1" t="s">
        <v>141</v>
      </c>
      <c r="B130" s="1" t="s">
        <v>22</v>
      </c>
      <c r="C130" s="1" t="s">
        <v>9</v>
      </c>
      <c r="D130" s="1" t="s">
        <v>38</v>
      </c>
      <c r="E130">
        <v>125</v>
      </c>
      <c r="F130">
        <v>1.98</v>
      </c>
      <c r="G130">
        <v>247.5</v>
      </c>
      <c r="H130" s="10">
        <f t="shared" si="5"/>
        <v>21</v>
      </c>
      <c r="I130" s="10" t="b">
        <f t="shared" si="4"/>
        <v>1</v>
      </c>
      <c r="J130" s="7"/>
      <c r="K130" s="7"/>
    </row>
    <row r="131" spans="1:11">
      <c r="A131" s="1" t="s">
        <v>142</v>
      </c>
      <c r="B131" s="1" t="s">
        <v>19</v>
      </c>
      <c r="C131" s="1" t="s">
        <v>32</v>
      </c>
      <c r="D131" s="1" t="s">
        <v>10</v>
      </c>
      <c r="E131">
        <v>69</v>
      </c>
      <c r="F131">
        <v>18.57</v>
      </c>
      <c r="G131">
        <v>1281.33</v>
      </c>
      <c r="H131" s="10">
        <f t="shared" si="5"/>
        <v>15</v>
      </c>
      <c r="I131" s="10" t="b">
        <f t="shared" ref="I131:I152" si="6">COUNTIF(C:C,C131)&gt;15</f>
        <v>0</v>
      </c>
      <c r="J131" s="7"/>
      <c r="K131" s="7"/>
    </row>
    <row r="132" spans="1:11">
      <c r="A132" s="1" t="s">
        <v>143</v>
      </c>
      <c r="B132" s="1" t="s">
        <v>8</v>
      </c>
      <c r="C132" s="1" t="s">
        <v>52</v>
      </c>
      <c r="D132" s="1" t="s">
        <v>38</v>
      </c>
      <c r="E132">
        <v>184</v>
      </c>
      <c r="F132">
        <v>16.36</v>
      </c>
      <c r="G132">
        <v>3010.24</v>
      </c>
      <c r="H132" s="10">
        <f t="shared" ref="H132:H150" si="7">COUNTIF(C:C,C132)</f>
        <v>16</v>
      </c>
      <c r="I132" s="10" t="b">
        <f t="shared" si="6"/>
        <v>1</v>
      </c>
      <c r="J132" s="7"/>
      <c r="K132" s="7"/>
    </row>
    <row r="133" spans="1:11">
      <c r="A133" s="1" t="s">
        <v>130</v>
      </c>
      <c r="B133" s="1" t="s">
        <v>12</v>
      </c>
      <c r="C133" s="1" t="s">
        <v>40</v>
      </c>
      <c r="D133" s="1" t="s">
        <v>38</v>
      </c>
      <c r="E133">
        <v>176</v>
      </c>
      <c r="F133">
        <v>6.39</v>
      </c>
      <c r="G133">
        <v>1124.6400000000001</v>
      </c>
      <c r="H133" s="10">
        <f t="shared" si="7"/>
        <v>11</v>
      </c>
      <c r="I133" s="10" t="b">
        <f t="shared" si="6"/>
        <v>0</v>
      </c>
      <c r="J133" s="7"/>
      <c r="K133" s="7"/>
    </row>
    <row r="134" spans="1:11">
      <c r="A134" s="1" t="s">
        <v>144</v>
      </c>
      <c r="B134" s="1" t="s">
        <v>16</v>
      </c>
      <c r="C134" s="1" t="s">
        <v>60</v>
      </c>
      <c r="D134" s="1" t="s">
        <v>43</v>
      </c>
      <c r="E134">
        <v>112</v>
      </c>
      <c r="F134">
        <v>16.45</v>
      </c>
      <c r="G134">
        <v>1842.4</v>
      </c>
      <c r="H134" s="10">
        <f t="shared" si="7"/>
        <v>10</v>
      </c>
      <c r="I134" s="10" t="b">
        <f t="shared" si="6"/>
        <v>0</v>
      </c>
      <c r="J134" s="7"/>
      <c r="K134" s="7"/>
    </row>
    <row r="135" spans="1:11">
      <c r="A135" s="1" t="s">
        <v>145</v>
      </c>
      <c r="B135" s="1" t="s">
        <v>19</v>
      </c>
      <c r="C135" s="1" t="s">
        <v>40</v>
      </c>
      <c r="D135" s="1" t="s">
        <v>33</v>
      </c>
      <c r="E135">
        <v>10</v>
      </c>
      <c r="F135">
        <v>19.41</v>
      </c>
      <c r="G135">
        <v>194.1</v>
      </c>
      <c r="H135" s="10">
        <f t="shared" si="7"/>
        <v>11</v>
      </c>
      <c r="I135" s="10" t="b">
        <f t="shared" si="6"/>
        <v>0</v>
      </c>
      <c r="J135" s="7"/>
      <c r="K135" s="7"/>
    </row>
    <row r="136" spans="1:11">
      <c r="A136" s="1" t="s">
        <v>134</v>
      </c>
      <c r="B136" s="1" t="s">
        <v>22</v>
      </c>
      <c r="C136" s="1" t="s">
        <v>23</v>
      </c>
      <c r="D136" s="1" t="s">
        <v>77</v>
      </c>
      <c r="E136">
        <v>34</v>
      </c>
      <c r="F136">
        <v>15.27</v>
      </c>
      <c r="G136">
        <v>519.17999999999995</v>
      </c>
      <c r="H136" s="10">
        <f t="shared" si="7"/>
        <v>12</v>
      </c>
      <c r="I136" s="10" t="b">
        <f t="shared" si="6"/>
        <v>0</v>
      </c>
      <c r="J136" s="7"/>
      <c r="K136" s="7"/>
    </row>
    <row r="137" spans="1:11">
      <c r="A137" s="1" t="s">
        <v>146</v>
      </c>
      <c r="B137" s="1" t="s">
        <v>12</v>
      </c>
      <c r="C137" s="1" t="s">
        <v>9</v>
      </c>
      <c r="D137" s="1" t="s">
        <v>33</v>
      </c>
      <c r="E137">
        <v>60</v>
      </c>
      <c r="F137">
        <v>12.15</v>
      </c>
      <c r="G137">
        <v>729</v>
      </c>
      <c r="H137" s="10">
        <f t="shared" si="7"/>
        <v>21</v>
      </c>
      <c r="I137" s="10" t="b">
        <f t="shared" si="6"/>
        <v>1</v>
      </c>
      <c r="J137" s="7"/>
      <c r="K137" s="7"/>
    </row>
    <row r="138" spans="1:11">
      <c r="A138" s="1" t="s">
        <v>11</v>
      </c>
      <c r="B138" s="1" t="s">
        <v>16</v>
      </c>
      <c r="C138" s="1" t="s">
        <v>17</v>
      </c>
      <c r="D138" s="1" t="s">
        <v>77</v>
      </c>
      <c r="E138">
        <v>168</v>
      </c>
      <c r="F138">
        <v>1.8</v>
      </c>
      <c r="G138">
        <v>302.39999999999998</v>
      </c>
      <c r="H138" s="10">
        <f t="shared" si="7"/>
        <v>17</v>
      </c>
      <c r="I138" s="10" t="b">
        <f t="shared" si="6"/>
        <v>1</v>
      </c>
      <c r="J138" s="7"/>
      <c r="K138" s="7"/>
    </row>
    <row r="139" spans="1:11">
      <c r="A139" s="1" t="s">
        <v>147</v>
      </c>
      <c r="B139" s="1" t="s">
        <v>16</v>
      </c>
      <c r="C139" s="1" t="s">
        <v>46</v>
      </c>
      <c r="D139" s="1" t="s">
        <v>24</v>
      </c>
      <c r="E139">
        <v>51</v>
      </c>
      <c r="F139">
        <v>2.5499999999999998</v>
      </c>
      <c r="G139">
        <v>130.05000000000001</v>
      </c>
      <c r="H139" s="10">
        <f t="shared" si="7"/>
        <v>16</v>
      </c>
      <c r="I139" s="10" t="b">
        <f t="shared" si="6"/>
        <v>1</v>
      </c>
      <c r="J139" s="7"/>
      <c r="K139" s="7"/>
    </row>
    <row r="140" spans="1:11">
      <c r="A140" s="1" t="s">
        <v>112</v>
      </c>
      <c r="B140" s="1" t="s">
        <v>8</v>
      </c>
      <c r="C140" s="1" t="s">
        <v>52</v>
      </c>
      <c r="D140" s="1" t="s">
        <v>77</v>
      </c>
      <c r="E140">
        <v>156</v>
      </c>
      <c r="F140">
        <v>19.32</v>
      </c>
      <c r="G140">
        <v>3013.92</v>
      </c>
      <c r="H140" s="10">
        <f t="shared" si="7"/>
        <v>16</v>
      </c>
      <c r="I140" s="10" t="b">
        <f t="shared" si="6"/>
        <v>1</v>
      </c>
      <c r="J140" s="7"/>
      <c r="K140" s="7"/>
    </row>
    <row r="141" spans="1:11">
      <c r="A141" s="1" t="s">
        <v>148</v>
      </c>
      <c r="B141" s="1" t="s">
        <v>19</v>
      </c>
      <c r="C141" s="1" t="s">
        <v>17</v>
      </c>
      <c r="D141" s="1" t="s">
        <v>35</v>
      </c>
      <c r="E141">
        <v>79</v>
      </c>
      <c r="F141">
        <v>9.34</v>
      </c>
      <c r="G141">
        <v>737.86</v>
      </c>
      <c r="H141" s="10">
        <f t="shared" si="7"/>
        <v>17</v>
      </c>
      <c r="I141" s="10" t="b">
        <f t="shared" si="6"/>
        <v>1</v>
      </c>
      <c r="J141" s="7"/>
      <c r="K141" s="7"/>
    </row>
    <row r="142" spans="1:11">
      <c r="A142" s="1" t="s">
        <v>149</v>
      </c>
      <c r="B142" s="1" t="s">
        <v>22</v>
      </c>
      <c r="C142" s="1" t="s">
        <v>9</v>
      </c>
      <c r="D142" s="1" t="s">
        <v>38</v>
      </c>
      <c r="E142">
        <v>173</v>
      </c>
      <c r="F142">
        <v>6.58</v>
      </c>
      <c r="G142">
        <v>1138.3399999999999</v>
      </c>
      <c r="H142" s="10">
        <f t="shared" si="7"/>
        <v>21</v>
      </c>
      <c r="I142" s="10" t="b">
        <f t="shared" si="6"/>
        <v>1</v>
      </c>
      <c r="J142" s="7"/>
      <c r="K142" s="7"/>
    </row>
    <row r="143" spans="1:11">
      <c r="A143" s="1" t="s">
        <v>150</v>
      </c>
      <c r="B143" s="1" t="s">
        <v>8</v>
      </c>
      <c r="C143" s="1" t="s">
        <v>23</v>
      </c>
      <c r="D143" s="1" t="s">
        <v>14</v>
      </c>
      <c r="E143">
        <v>118</v>
      </c>
      <c r="F143">
        <v>18.28</v>
      </c>
      <c r="G143">
        <v>2157.04</v>
      </c>
      <c r="H143" s="10">
        <f t="shared" si="7"/>
        <v>12</v>
      </c>
      <c r="I143" s="10" t="b">
        <f t="shared" si="6"/>
        <v>0</v>
      </c>
      <c r="J143" s="7"/>
      <c r="K143" s="7"/>
    </row>
    <row r="144" spans="1:11">
      <c r="A144" s="1" t="s">
        <v>151</v>
      </c>
      <c r="B144" s="1" t="s">
        <v>16</v>
      </c>
      <c r="C144" s="1" t="s">
        <v>13</v>
      </c>
      <c r="D144" s="1" t="s">
        <v>24</v>
      </c>
      <c r="E144">
        <v>152</v>
      </c>
      <c r="F144">
        <v>7.78</v>
      </c>
      <c r="G144">
        <v>1182.56</v>
      </c>
      <c r="H144" s="10">
        <f t="shared" si="7"/>
        <v>12</v>
      </c>
      <c r="I144" s="10" t="b">
        <f t="shared" si="6"/>
        <v>0</v>
      </c>
      <c r="J144" s="7"/>
      <c r="K144" s="7"/>
    </row>
    <row r="145" spans="1:11">
      <c r="A145" s="1" t="s">
        <v>7</v>
      </c>
      <c r="B145" s="1" t="s">
        <v>22</v>
      </c>
      <c r="C145" s="1" t="s">
        <v>32</v>
      </c>
      <c r="D145" s="1" t="s">
        <v>24</v>
      </c>
      <c r="E145">
        <v>177</v>
      </c>
      <c r="F145">
        <v>15.35</v>
      </c>
      <c r="G145">
        <v>2716.95</v>
      </c>
      <c r="H145" s="10">
        <f t="shared" si="7"/>
        <v>15</v>
      </c>
      <c r="I145" s="10" t="b">
        <f t="shared" si="6"/>
        <v>0</v>
      </c>
      <c r="J145" s="7"/>
      <c r="K145" s="7"/>
    </row>
    <row r="146" spans="1:11">
      <c r="A146" s="1" t="s">
        <v>152</v>
      </c>
      <c r="B146" s="1" t="s">
        <v>22</v>
      </c>
      <c r="C146" s="1" t="s">
        <v>46</v>
      </c>
      <c r="D146" s="1" t="s">
        <v>10</v>
      </c>
      <c r="E146">
        <v>99</v>
      </c>
      <c r="F146">
        <v>2.61</v>
      </c>
      <c r="G146">
        <v>258.39</v>
      </c>
      <c r="H146" s="10">
        <f t="shared" si="7"/>
        <v>16</v>
      </c>
      <c r="I146" s="10" t="b">
        <f t="shared" si="6"/>
        <v>1</v>
      </c>
      <c r="J146" s="7"/>
      <c r="K146" s="7"/>
    </row>
    <row r="147" spans="1:11">
      <c r="A147" s="1" t="s">
        <v>153</v>
      </c>
      <c r="B147" s="1" t="s">
        <v>12</v>
      </c>
      <c r="C147" s="1" t="s">
        <v>46</v>
      </c>
      <c r="D147" s="1" t="s">
        <v>24</v>
      </c>
      <c r="E147">
        <v>153</v>
      </c>
      <c r="F147">
        <v>15.32</v>
      </c>
      <c r="G147">
        <v>2343.96</v>
      </c>
      <c r="H147" s="10">
        <f t="shared" si="7"/>
        <v>16</v>
      </c>
      <c r="I147" s="10" t="b">
        <f t="shared" si="6"/>
        <v>1</v>
      </c>
      <c r="J147" s="7"/>
      <c r="K147" s="7"/>
    </row>
    <row r="148" spans="1:11">
      <c r="A148" s="1" t="s">
        <v>154</v>
      </c>
      <c r="B148" s="1" t="s">
        <v>12</v>
      </c>
      <c r="C148" s="1" t="s">
        <v>46</v>
      </c>
      <c r="D148" s="1" t="s">
        <v>14</v>
      </c>
      <c r="E148">
        <v>13</v>
      </c>
      <c r="F148">
        <v>19.989999999999998</v>
      </c>
      <c r="G148">
        <v>259.87</v>
      </c>
      <c r="H148" s="10">
        <f t="shared" si="7"/>
        <v>16</v>
      </c>
      <c r="I148" s="10" t="b">
        <f t="shared" si="6"/>
        <v>1</v>
      </c>
      <c r="J148" s="7"/>
      <c r="K148" s="7"/>
    </row>
    <row r="149" spans="1:11">
      <c r="A149" s="1" t="s">
        <v>155</v>
      </c>
      <c r="B149" s="1" t="s">
        <v>12</v>
      </c>
      <c r="C149" s="1" t="s">
        <v>52</v>
      </c>
      <c r="D149" s="1" t="s">
        <v>20</v>
      </c>
      <c r="E149">
        <v>39</v>
      </c>
      <c r="F149">
        <v>15.54</v>
      </c>
      <c r="G149">
        <v>606.05999999999995</v>
      </c>
      <c r="H149" s="10">
        <f t="shared" si="7"/>
        <v>16</v>
      </c>
      <c r="I149" s="10" t="b">
        <f t="shared" si="6"/>
        <v>1</v>
      </c>
      <c r="J149" s="7"/>
      <c r="K149" s="7"/>
    </row>
    <row r="150" spans="1:11">
      <c r="A150" s="1" t="s">
        <v>65</v>
      </c>
      <c r="B150" s="1" t="s">
        <v>16</v>
      </c>
      <c r="C150" s="1" t="s">
        <v>168</v>
      </c>
      <c r="D150" s="1" t="s">
        <v>14</v>
      </c>
      <c r="E150">
        <v>43</v>
      </c>
      <c r="F150">
        <v>1.54</v>
      </c>
      <c r="G150">
        <v>66.22</v>
      </c>
      <c r="H150" s="10">
        <f t="shared" si="7"/>
        <v>2</v>
      </c>
      <c r="I150" s="10" t="b">
        <f t="shared" si="6"/>
        <v>0</v>
      </c>
      <c r="J150" s="7"/>
      <c r="K150" s="7"/>
    </row>
    <row r="151" spans="1:11">
      <c r="A151" s="1"/>
      <c r="B151" s="1"/>
      <c r="C151" s="1" t="s">
        <v>17</v>
      </c>
      <c r="D151" s="1"/>
      <c r="H151" s="9"/>
      <c r="I151" s="10" t="b">
        <f t="shared" si="6"/>
        <v>1</v>
      </c>
    </row>
    <row r="152" spans="1:11">
      <c r="A152" s="1"/>
      <c r="B152" s="1"/>
      <c r="C152" s="1" t="s">
        <v>17</v>
      </c>
      <c r="D152" s="1"/>
      <c r="H152" s="9">
        <f>COUNTIF($C$2:$C$152,C152)</f>
        <v>17</v>
      </c>
      <c r="I152" s="10" t="b">
        <f t="shared" si="6"/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AF35-24BC-4C77-9EA0-50EAA7EA4F44}">
  <dimension ref="A1:Q152"/>
  <sheetViews>
    <sheetView tabSelected="1" workbookViewId="0">
      <selection activeCell="J7" sqref="J7"/>
    </sheetView>
  </sheetViews>
  <sheetFormatPr defaultRowHeight="15"/>
  <cols>
    <col min="1" max="1" width="14.42578125" style="17" customWidth="1"/>
    <col min="2" max="2" width="12.85546875" bestFit="1" customWidth="1"/>
  </cols>
  <sheetData>
    <row r="1" spans="1:17">
      <c r="A1" s="1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7">
      <c r="A2" s="17">
        <v>43480</v>
      </c>
      <c r="B2" s="1" t="s">
        <v>8</v>
      </c>
      <c r="C2" s="1" t="s">
        <v>9</v>
      </c>
      <c r="D2" s="1" t="s">
        <v>10</v>
      </c>
      <c r="E2">
        <v>58</v>
      </c>
      <c r="F2">
        <v>7.17</v>
      </c>
      <c r="G2">
        <v>415.86</v>
      </c>
    </row>
    <row r="3" spans="1:17">
      <c r="A3" s="17">
        <v>43732</v>
      </c>
      <c r="B3" s="1" t="s">
        <v>12</v>
      </c>
      <c r="C3" s="1" t="s">
        <v>13</v>
      </c>
      <c r="D3" s="1" t="s">
        <v>14</v>
      </c>
      <c r="E3">
        <v>184</v>
      </c>
      <c r="F3">
        <v>2.2999999999999998</v>
      </c>
      <c r="G3">
        <v>423.2</v>
      </c>
    </row>
    <row r="4" spans="1:17">
      <c r="A4" s="17">
        <v>43714</v>
      </c>
      <c r="B4" s="1" t="s">
        <v>16</v>
      </c>
      <c r="C4" s="1" t="s">
        <v>17</v>
      </c>
      <c r="D4" s="1" t="s">
        <v>10</v>
      </c>
      <c r="E4">
        <v>104</v>
      </c>
      <c r="F4">
        <v>12.48</v>
      </c>
      <c r="G4">
        <v>1297.92</v>
      </c>
      <c r="J4" s="5" t="s">
        <v>169</v>
      </c>
      <c r="K4" s="5"/>
      <c r="L4" s="5"/>
      <c r="M4" s="5"/>
      <c r="N4" s="5"/>
      <c r="O4" s="5"/>
      <c r="P4" s="5"/>
      <c r="Q4" s="5"/>
    </row>
    <row r="5" spans="1:17">
      <c r="A5" s="17">
        <v>43568</v>
      </c>
      <c r="B5" s="1" t="s">
        <v>19</v>
      </c>
      <c r="C5" s="1" t="s">
        <v>17</v>
      </c>
      <c r="D5" s="1" t="s">
        <v>20</v>
      </c>
      <c r="E5">
        <v>171</v>
      </c>
      <c r="F5">
        <v>11.5</v>
      </c>
      <c r="G5">
        <v>1966.5</v>
      </c>
    </row>
    <row r="6" spans="1:17">
      <c r="A6" s="17">
        <v>43489</v>
      </c>
      <c r="B6" s="1" t="s">
        <v>22</v>
      </c>
      <c r="C6" s="1" t="s">
        <v>23</v>
      </c>
      <c r="D6" s="1" t="s">
        <v>24</v>
      </c>
      <c r="E6">
        <v>168</v>
      </c>
      <c r="F6">
        <v>9.42</v>
      </c>
      <c r="G6">
        <v>1582.56</v>
      </c>
      <c r="J6" s="11">
        <f>COUNTIFS(A2:A152,"&gt;02-10-2019",B2:B152,"East")</f>
        <v>27</v>
      </c>
    </row>
    <row r="7" spans="1:17">
      <c r="A7" s="17">
        <v>43796</v>
      </c>
      <c r="B7" s="1" t="s">
        <v>16</v>
      </c>
      <c r="C7" s="1" t="s">
        <v>26</v>
      </c>
      <c r="D7" s="1" t="s">
        <v>10</v>
      </c>
      <c r="E7">
        <v>64</v>
      </c>
      <c r="F7">
        <v>2.2599999999999998</v>
      </c>
      <c r="G7">
        <v>144.63999999999999</v>
      </c>
    </row>
    <row r="8" spans="1:17">
      <c r="A8" s="17">
        <v>43580</v>
      </c>
      <c r="B8" s="1" t="s">
        <v>16</v>
      </c>
      <c r="C8" s="1" t="s">
        <v>9</v>
      </c>
      <c r="D8" s="1" t="s">
        <v>20</v>
      </c>
      <c r="E8">
        <v>72</v>
      </c>
      <c r="F8">
        <v>8.41</v>
      </c>
      <c r="G8">
        <v>605.52</v>
      </c>
    </row>
    <row r="9" spans="1:17">
      <c r="A9" s="17">
        <v>43715</v>
      </c>
      <c r="B9" s="1" t="s">
        <v>22</v>
      </c>
      <c r="C9" s="1" t="s">
        <v>9</v>
      </c>
      <c r="D9" s="1" t="s">
        <v>14</v>
      </c>
      <c r="E9">
        <v>65</v>
      </c>
      <c r="F9">
        <v>4.55</v>
      </c>
      <c r="G9">
        <v>295.75</v>
      </c>
      <c r="J9" s="5" t="s">
        <v>170</v>
      </c>
      <c r="K9" s="5"/>
      <c r="L9" s="5"/>
      <c r="M9" s="5"/>
      <c r="N9" s="5"/>
    </row>
    <row r="10" spans="1:17">
      <c r="A10" s="17">
        <v>43572</v>
      </c>
      <c r="B10" s="1" t="s">
        <v>16</v>
      </c>
      <c r="C10" s="1" t="s">
        <v>9</v>
      </c>
      <c r="D10" s="1" t="s">
        <v>24</v>
      </c>
      <c r="E10">
        <v>162</v>
      </c>
      <c r="F10">
        <v>9.2799999999999994</v>
      </c>
      <c r="G10">
        <v>1503.36</v>
      </c>
    </row>
    <row r="11" spans="1:17">
      <c r="A11" s="17">
        <v>43483</v>
      </c>
      <c r="B11" s="1" t="s">
        <v>19</v>
      </c>
      <c r="C11" s="1" t="s">
        <v>26</v>
      </c>
      <c r="D11" s="1" t="s">
        <v>10</v>
      </c>
      <c r="E11">
        <v>165</v>
      </c>
      <c r="F11">
        <v>2.2000000000000002</v>
      </c>
      <c r="G11">
        <v>363</v>
      </c>
      <c r="J11" s="6">
        <f>COUNTIFS(C:C,"Gill",D:D,"Pencil")</f>
        <v>2</v>
      </c>
    </row>
    <row r="12" spans="1:17">
      <c r="A12" s="17">
        <v>43804</v>
      </c>
      <c r="B12" s="1" t="s">
        <v>8</v>
      </c>
      <c r="C12" s="1" t="s">
        <v>32</v>
      </c>
      <c r="D12" s="1" t="s">
        <v>33</v>
      </c>
      <c r="E12">
        <v>90</v>
      </c>
      <c r="F12">
        <v>16.920000000000002</v>
      </c>
      <c r="G12">
        <v>1522.8</v>
      </c>
    </row>
    <row r="13" spans="1:17">
      <c r="A13" s="17">
        <v>43767</v>
      </c>
      <c r="B13" s="1" t="s">
        <v>19</v>
      </c>
      <c r="C13" s="1" t="s">
        <v>17</v>
      </c>
      <c r="D13" s="1" t="s">
        <v>35</v>
      </c>
      <c r="E13">
        <v>171</v>
      </c>
      <c r="F13">
        <v>8.7899999999999991</v>
      </c>
      <c r="G13">
        <v>1503.09</v>
      </c>
    </row>
    <row r="14" spans="1:17">
      <c r="A14" s="17">
        <v>43626</v>
      </c>
      <c r="B14" s="1" t="s">
        <v>12</v>
      </c>
      <c r="C14" s="1" t="s">
        <v>26</v>
      </c>
      <c r="D14" s="1" t="s">
        <v>24</v>
      </c>
      <c r="E14">
        <v>107</v>
      </c>
      <c r="F14">
        <v>7.9</v>
      </c>
      <c r="G14">
        <v>845.3</v>
      </c>
    </row>
    <row r="15" spans="1:17">
      <c r="A15" s="17">
        <v>43831</v>
      </c>
      <c r="B15" s="1" t="s">
        <v>22</v>
      </c>
      <c r="C15" s="1" t="s">
        <v>9</v>
      </c>
      <c r="D15" s="1" t="s">
        <v>38</v>
      </c>
      <c r="E15">
        <v>82</v>
      </c>
      <c r="F15">
        <v>10.95</v>
      </c>
      <c r="G15">
        <v>897.9</v>
      </c>
    </row>
    <row r="16" spans="1:17">
      <c r="A16" s="17">
        <v>43698</v>
      </c>
      <c r="B16" s="1" t="s">
        <v>8</v>
      </c>
      <c r="C16" s="1" t="s">
        <v>40</v>
      </c>
      <c r="D16" s="1" t="s">
        <v>33</v>
      </c>
      <c r="E16">
        <v>19</v>
      </c>
      <c r="F16">
        <v>12.92</v>
      </c>
      <c r="G16">
        <v>245.48</v>
      </c>
    </row>
    <row r="17" spans="1:7">
      <c r="A17" s="17">
        <v>43730</v>
      </c>
      <c r="B17" s="1" t="s">
        <v>19</v>
      </c>
      <c r="C17" s="1" t="s">
        <v>32</v>
      </c>
      <c r="D17" s="1" t="s">
        <v>14</v>
      </c>
      <c r="E17">
        <v>122</v>
      </c>
      <c r="F17">
        <v>7.91</v>
      </c>
      <c r="G17">
        <v>965.02</v>
      </c>
    </row>
    <row r="18" spans="1:7">
      <c r="A18" s="17">
        <v>43663</v>
      </c>
      <c r="B18" s="1" t="s">
        <v>8</v>
      </c>
      <c r="C18" s="1" t="s">
        <v>17</v>
      </c>
      <c r="D18" s="1" t="s">
        <v>43</v>
      </c>
      <c r="E18">
        <v>50</v>
      </c>
      <c r="F18">
        <v>13.61</v>
      </c>
      <c r="G18">
        <v>680.5</v>
      </c>
    </row>
    <row r="19" spans="1:7">
      <c r="A19" s="17">
        <v>43631</v>
      </c>
      <c r="B19" s="1" t="s">
        <v>19</v>
      </c>
      <c r="C19" s="1" t="s">
        <v>32</v>
      </c>
      <c r="D19" s="1" t="s">
        <v>24</v>
      </c>
      <c r="E19">
        <v>115</v>
      </c>
      <c r="F19">
        <v>9.61</v>
      </c>
      <c r="G19">
        <v>1105.1500000000001</v>
      </c>
    </row>
    <row r="20" spans="1:7">
      <c r="A20" s="17">
        <v>43495</v>
      </c>
      <c r="B20" s="1" t="s">
        <v>22</v>
      </c>
      <c r="C20" s="1" t="s">
        <v>46</v>
      </c>
      <c r="D20" s="1" t="s">
        <v>47</v>
      </c>
      <c r="E20">
        <v>150</v>
      </c>
      <c r="F20">
        <v>19.8</v>
      </c>
      <c r="G20">
        <v>2970</v>
      </c>
    </row>
    <row r="21" spans="1:7">
      <c r="A21" s="17">
        <v>43488</v>
      </c>
      <c r="B21" s="1" t="s">
        <v>16</v>
      </c>
      <c r="C21" s="1" t="s">
        <v>13</v>
      </c>
      <c r="D21" s="1" t="s">
        <v>24</v>
      </c>
      <c r="E21">
        <v>72</v>
      </c>
      <c r="F21">
        <v>5.1100000000000003</v>
      </c>
      <c r="G21">
        <v>367.92</v>
      </c>
    </row>
    <row r="22" spans="1:7">
      <c r="A22" s="17">
        <v>43501</v>
      </c>
      <c r="B22" s="1" t="s">
        <v>19</v>
      </c>
      <c r="C22" s="1" t="s">
        <v>23</v>
      </c>
      <c r="D22" s="1" t="s">
        <v>43</v>
      </c>
      <c r="E22">
        <v>157</v>
      </c>
      <c r="F22">
        <v>11.72</v>
      </c>
      <c r="G22">
        <v>1840.04</v>
      </c>
    </row>
    <row r="23" spans="1:7">
      <c r="A23" s="17">
        <v>43551</v>
      </c>
      <c r="B23" s="1" t="s">
        <v>16</v>
      </c>
      <c r="C23" s="1" t="s">
        <v>13</v>
      </c>
      <c r="D23" s="1" t="s">
        <v>38</v>
      </c>
      <c r="E23">
        <v>141</v>
      </c>
      <c r="F23">
        <v>19.77</v>
      </c>
      <c r="G23">
        <v>2787.57</v>
      </c>
    </row>
    <row r="24" spans="1:7">
      <c r="A24" s="17">
        <v>43669</v>
      </c>
      <c r="B24" s="1" t="s">
        <v>16</v>
      </c>
      <c r="C24" s="1" t="s">
        <v>52</v>
      </c>
      <c r="D24" s="1" t="s">
        <v>38</v>
      </c>
      <c r="E24">
        <v>71</v>
      </c>
      <c r="F24">
        <v>1.74</v>
      </c>
      <c r="G24">
        <v>123.54</v>
      </c>
    </row>
    <row r="25" spans="1:7">
      <c r="A25" s="17">
        <v>43686</v>
      </c>
      <c r="B25" s="1" t="s">
        <v>12</v>
      </c>
      <c r="C25" s="1" t="s">
        <v>52</v>
      </c>
      <c r="D25" s="1" t="s">
        <v>38</v>
      </c>
      <c r="E25">
        <v>18</v>
      </c>
      <c r="F25">
        <v>4.3</v>
      </c>
      <c r="G25">
        <v>77.400000000000006</v>
      </c>
    </row>
    <row r="26" spans="1:7">
      <c r="A26" s="17">
        <v>43510</v>
      </c>
      <c r="B26" s="1" t="s">
        <v>12</v>
      </c>
      <c r="C26" s="1" t="s">
        <v>17</v>
      </c>
      <c r="D26" s="1" t="s">
        <v>10</v>
      </c>
      <c r="E26">
        <v>198</v>
      </c>
      <c r="F26">
        <v>11.41</v>
      </c>
      <c r="G26">
        <v>2259.1799999999998</v>
      </c>
    </row>
    <row r="27" spans="1:7">
      <c r="A27" s="17">
        <v>43723</v>
      </c>
      <c r="B27" s="1" t="s">
        <v>19</v>
      </c>
      <c r="C27" s="1" t="s">
        <v>32</v>
      </c>
      <c r="D27" s="1" t="s">
        <v>20</v>
      </c>
      <c r="E27">
        <v>16</v>
      </c>
      <c r="F27">
        <v>12.2</v>
      </c>
      <c r="G27">
        <v>195.2</v>
      </c>
    </row>
    <row r="28" spans="1:7">
      <c r="A28" s="17">
        <v>43831</v>
      </c>
      <c r="B28" s="1" t="s">
        <v>16</v>
      </c>
      <c r="C28" s="1" t="s">
        <v>26</v>
      </c>
      <c r="D28" s="1" t="s">
        <v>33</v>
      </c>
      <c r="E28">
        <v>23</v>
      </c>
      <c r="F28">
        <v>2.02</v>
      </c>
      <c r="G28">
        <v>46.46</v>
      </c>
    </row>
    <row r="29" spans="1:7">
      <c r="A29" s="17">
        <v>43689</v>
      </c>
      <c r="B29" s="1" t="s">
        <v>16</v>
      </c>
      <c r="C29" s="1" t="s">
        <v>46</v>
      </c>
      <c r="D29" s="1" t="s">
        <v>33</v>
      </c>
      <c r="E29">
        <v>89</v>
      </c>
      <c r="F29">
        <v>19.899999999999999</v>
      </c>
      <c r="G29">
        <v>1771.1</v>
      </c>
    </row>
    <row r="30" spans="1:7">
      <c r="A30" s="17">
        <v>43565</v>
      </c>
      <c r="B30" s="1" t="s">
        <v>8</v>
      </c>
      <c r="C30" s="1" t="s">
        <v>26</v>
      </c>
      <c r="D30" s="1" t="s">
        <v>43</v>
      </c>
      <c r="E30">
        <v>188</v>
      </c>
      <c r="F30">
        <v>7.6</v>
      </c>
      <c r="G30">
        <v>1428.8</v>
      </c>
    </row>
    <row r="31" spans="1:7">
      <c r="A31" s="17">
        <v>43696</v>
      </c>
      <c r="B31" s="1" t="s">
        <v>19</v>
      </c>
      <c r="C31" s="1" t="s">
        <v>26</v>
      </c>
      <c r="D31" s="1" t="s">
        <v>38</v>
      </c>
      <c r="E31">
        <v>193</v>
      </c>
      <c r="F31">
        <v>16.36</v>
      </c>
      <c r="G31">
        <v>3157.48</v>
      </c>
    </row>
    <row r="32" spans="1:7">
      <c r="A32" s="17">
        <v>43794</v>
      </c>
      <c r="B32" s="1" t="s">
        <v>16</v>
      </c>
      <c r="C32" s="1" t="s">
        <v>60</v>
      </c>
      <c r="D32" s="1" t="s">
        <v>10</v>
      </c>
      <c r="E32">
        <v>44</v>
      </c>
      <c r="F32">
        <v>16.57</v>
      </c>
      <c r="G32">
        <v>729.08</v>
      </c>
    </row>
    <row r="33" spans="1:7">
      <c r="A33" s="17">
        <v>43714</v>
      </c>
      <c r="B33" s="1" t="s">
        <v>8</v>
      </c>
      <c r="C33" s="1" t="s">
        <v>52</v>
      </c>
      <c r="D33" s="1" t="s">
        <v>47</v>
      </c>
      <c r="E33">
        <v>10</v>
      </c>
      <c r="F33">
        <v>13.39</v>
      </c>
      <c r="G33">
        <v>133.9</v>
      </c>
    </row>
    <row r="34" spans="1:7">
      <c r="A34" s="17">
        <v>43768</v>
      </c>
      <c r="B34" s="1" t="s">
        <v>12</v>
      </c>
      <c r="C34" s="1" t="s">
        <v>46</v>
      </c>
      <c r="D34" s="1" t="s">
        <v>47</v>
      </c>
      <c r="E34">
        <v>67</v>
      </c>
      <c r="F34">
        <v>9.56</v>
      </c>
      <c r="G34">
        <v>640.52</v>
      </c>
    </row>
    <row r="35" spans="1:7">
      <c r="A35" s="17">
        <v>43735</v>
      </c>
      <c r="B35" s="1" t="s">
        <v>8</v>
      </c>
      <c r="C35" s="1" t="s">
        <v>17</v>
      </c>
      <c r="D35" s="1" t="s">
        <v>24</v>
      </c>
      <c r="E35">
        <v>196</v>
      </c>
      <c r="F35">
        <v>15.16</v>
      </c>
      <c r="G35">
        <v>2971.36</v>
      </c>
    </row>
    <row r="36" spans="1:7">
      <c r="A36" s="17">
        <v>43603</v>
      </c>
      <c r="B36" s="1" t="s">
        <v>19</v>
      </c>
      <c r="C36" s="1" t="s">
        <v>60</v>
      </c>
      <c r="D36" s="1" t="s">
        <v>47</v>
      </c>
      <c r="E36">
        <v>95</v>
      </c>
      <c r="F36">
        <v>4.82</v>
      </c>
      <c r="G36">
        <v>457.9</v>
      </c>
    </row>
    <row r="37" spans="1:7">
      <c r="A37" s="17">
        <v>43723</v>
      </c>
      <c r="B37" s="1" t="s">
        <v>22</v>
      </c>
      <c r="C37" s="1" t="s">
        <v>9</v>
      </c>
      <c r="D37" s="1" t="s">
        <v>38</v>
      </c>
      <c r="E37">
        <v>96</v>
      </c>
      <c r="F37">
        <v>5.38</v>
      </c>
      <c r="G37">
        <v>516.48</v>
      </c>
    </row>
    <row r="38" spans="1:7">
      <c r="A38" s="17">
        <v>43476</v>
      </c>
      <c r="B38" s="1" t="s">
        <v>16</v>
      </c>
      <c r="C38" s="1" t="s">
        <v>40</v>
      </c>
      <c r="D38" s="1" t="s">
        <v>10</v>
      </c>
      <c r="E38">
        <v>199</v>
      </c>
      <c r="F38">
        <v>6.83</v>
      </c>
      <c r="G38">
        <v>1359.17</v>
      </c>
    </row>
    <row r="39" spans="1:7">
      <c r="A39" s="17">
        <v>43708</v>
      </c>
      <c r="B39" s="1" t="s">
        <v>22</v>
      </c>
      <c r="C39" s="1" t="s">
        <v>23</v>
      </c>
      <c r="D39" s="1" t="s">
        <v>47</v>
      </c>
      <c r="E39">
        <v>135</v>
      </c>
      <c r="F39">
        <v>16.309999999999999</v>
      </c>
      <c r="G39">
        <v>2201.85</v>
      </c>
    </row>
    <row r="40" spans="1:7">
      <c r="A40" s="17">
        <v>43546</v>
      </c>
      <c r="B40" s="1" t="s">
        <v>16</v>
      </c>
      <c r="C40" s="1" t="s">
        <v>46</v>
      </c>
      <c r="D40" s="1" t="s">
        <v>20</v>
      </c>
      <c r="E40">
        <v>126</v>
      </c>
      <c r="F40">
        <v>15.72</v>
      </c>
      <c r="G40">
        <v>1980.72</v>
      </c>
    </row>
    <row r="41" spans="1:7">
      <c r="A41" s="17">
        <v>43730</v>
      </c>
      <c r="B41" s="1" t="s">
        <v>16</v>
      </c>
      <c r="C41" s="1" t="s">
        <v>26</v>
      </c>
      <c r="D41" s="1" t="s">
        <v>10</v>
      </c>
      <c r="E41">
        <v>175</v>
      </c>
      <c r="F41">
        <v>13.61</v>
      </c>
      <c r="G41">
        <v>2381.75</v>
      </c>
    </row>
    <row r="42" spans="1:7">
      <c r="A42" s="17">
        <v>43552</v>
      </c>
      <c r="B42" s="1" t="s">
        <v>16</v>
      </c>
      <c r="C42" s="1" t="s">
        <v>40</v>
      </c>
      <c r="D42" s="1" t="s">
        <v>38</v>
      </c>
      <c r="E42">
        <v>137</v>
      </c>
      <c r="F42">
        <v>14.06</v>
      </c>
      <c r="G42">
        <v>1926.22</v>
      </c>
    </row>
    <row r="43" spans="1:7">
      <c r="A43" s="17">
        <v>43520</v>
      </c>
      <c r="B43" s="1" t="s">
        <v>12</v>
      </c>
      <c r="C43" s="1" t="s">
        <v>46</v>
      </c>
      <c r="D43" s="1" t="s">
        <v>43</v>
      </c>
      <c r="E43">
        <v>190</v>
      </c>
      <c r="F43">
        <v>10.53</v>
      </c>
      <c r="G43">
        <v>2000.7</v>
      </c>
    </row>
    <row r="44" spans="1:7">
      <c r="A44" s="17">
        <v>43717</v>
      </c>
      <c r="B44" s="1" t="s">
        <v>19</v>
      </c>
      <c r="C44" s="1" t="s">
        <v>17</v>
      </c>
      <c r="D44" s="1" t="s">
        <v>47</v>
      </c>
      <c r="E44">
        <v>131</v>
      </c>
      <c r="F44">
        <v>17.510000000000002</v>
      </c>
      <c r="G44">
        <v>2293.81</v>
      </c>
    </row>
    <row r="45" spans="1:7">
      <c r="A45" s="17">
        <v>43767</v>
      </c>
      <c r="B45" s="1" t="s">
        <v>16</v>
      </c>
      <c r="C45" s="1" t="s">
        <v>32</v>
      </c>
      <c r="D45" s="1" t="s">
        <v>24</v>
      </c>
      <c r="E45">
        <v>92</v>
      </c>
      <c r="F45">
        <v>9.52</v>
      </c>
      <c r="G45">
        <v>875.84</v>
      </c>
    </row>
    <row r="46" spans="1:7">
      <c r="A46" s="17">
        <v>43537</v>
      </c>
      <c r="B46" s="1" t="s">
        <v>8</v>
      </c>
      <c r="C46" s="1" t="s">
        <v>13</v>
      </c>
      <c r="D46" s="1" t="s">
        <v>38</v>
      </c>
      <c r="E46">
        <v>99</v>
      </c>
      <c r="F46">
        <v>9.5299999999999994</v>
      </c>
      <c r="G46">
        <v>943.47</v>
      </c>
    </row>
    <row r="47" spans="1:7">
      <c r="A47" s="17">
        <v>43583</v>
      </c>
      <c r="B47" s="1" t="s">
        <v>16</v>
      </c>
      <c r="C47" s="1" t="s">
        <v>60</v>
      </c>
      <c r="D47" s="1" t="s">
        <v>33</v>
      </c>
      <c r="E47">
        <v>26</v>
      </c>
      <c r="F47">
        <v>17.14</v>
      </c>
      <c r="G47">
        <v>445.64</v>
      </c>
    </row>
    <row r="48" spans="1:7">
      <c r="A48" s="17">
        <v>43639</v>
      </c>
      <c r="B48" s="1" t="s">
        <v>22</v>
      </c>
      <c r="C48" s="1" t="s">
        <v>13</v>
      </c>
      <c r="D48" s="1" t="s">
        <v>35</v>
      </c>
      <c r="E48">
        <v>174</v>
      </c>
      <c r="F48">
        <v>15.85</v>
      </c>
      <c r="G48">
        <v>2757.9</v>
      </c>
    </row>
    <row r="49" spans="1:7">
      <c r="A49" s="17">
        <v>43661</v>
      </c>
      <c r="B49" s="1" t="s">
        <v>12</v>
      </c>
      <c r="C49" s="1" t="s">
        <v>60</v>
      </c>
      <c r="D49" s="1" t="s">
        <v>33</v>
      </c>
      <c r="E49">
        <v>188</v>
      </c>
      <c r="F49">
        <v>4.0599999999999996</v>
      </c>
      <c r="G49">
        <v>763.28</v>
      </c>
    </row>
    <row r="50" spans="1:7">
      <c r="A50" s="17">
        <v>43616</v>
      </c>
      <c r="B50" s="1" t="s">
        <v>19</v>
      </c>
      <c r="C50" s="1" t="s">
        <v>23</v>
      </c>
      <c r="D50" s="1" t="s">
        <v>35</v>
      </c>
      <c r="E50">
        <v>94</v>
      </c>
      <c r="F50">
        <v>4.74</v>
      </c>
      <c r="G50">
        <v>445.56</v>
      </c>
    </row>
    <row r="51" spans="1:7">
      <c r="A51" s="17">
        <v>43783</v>
      </c>
      <c r="B51" s="1" t="s">
        <v>19</v>
      </c>
      <c r="C51" s="1" t="s">
        <v>9</v>
      </c>
      <c r="D51" s="1" t="s">
        <v>38</v>
      </c>
      <c r="E51">
        <v>13</v>
      </c>
      <c r="F51">
        <v>17.84</v>
      </c>
      <c r="G51">
        <v>231.92</v>
      </c>
    </row>
    <row r="52" spans="1:7">
      <c r="A52" s="17">
        <v>43516</v>
      </c>
      <c r="B52" s="1" t="s">
        <v>16</v>
      </c>
      <c r="C52" s="1" t="s">
        <v>23</v>
      </c>
      <c r="D52" s="1" t="s">
        <v>77</v>
      </c>
      <c r="E52">
        <v>102</v>
      </c>
      <c r="F52">
        <v>3.01</v>
      </c>
      <c r="G52">
        <v>307.02</v>
      </c>
    </row>
    <row r="53" spans="1:7">
      <c r="A53" s="17">
        <v>43681</v>
      </c>
      <c r="B53" s="1" t="s">
        <v>8</v>
      </c>
      <c r="C53" s="1" t="s">
        <v>13</v>
      </c>
      <c r="D53" s="1" t="s">
        <v>35</v>
      </c>
      <c r="E53">
        <v>80</v>
      </c>
      <c r="F53">
        <v>4.8</v>
      </c>
      <c r="G53">
        <v>384</v>
      </c>
    </row>
    <row r="54" spans="1:7">
      <c r="A54" s="17">
        <v>43813</v>
      </c>
      <c r="B54" s="1" t="s">
        <v>16</v>
      </c>
      <c r="C54" s="1" t="s">
        <v>52</v>
      </c>
      <c r="D54" s="1" t="s">
        <v>20</v>
      </c>
      <c r="E54">
        <v>47</v>
      </c>
      <c r="F54">
        <v>5.15</v>
      </c>
      <c r="G54">
        <v>242.05</v>
      </c>
    </row>
    <row r="55" spans="1:7">
      <c r="A55" s="17">
        <v>43709</v>
      </c>
      <c r="B55" s="1" t="s">
        <v>8</v>
      </c>
      <c r="C55" s="1" t="s">
        <v>46</v>
      </c>
      <c r="D55" s="1" t="s">
        <v>24</v>
      </c>
      <c r="E55">
        <v>144</v>
      </c>
      <c r="F55">
        <v>2.52</v>
      </c>
      <c r="G55">
        <v>362.88</v>
      </c>
    </row>
    <row r="56" spans="1:7">
      <c r="A56" s="17">
        <v>43510</v>
      </c>
      <c r="B56" s="1" t="s">
        <v>8</v>
      </c>
      <c r="C56" s="1" t="s">
        <v>32</v>
      </c>
      <c r="D56" s="1" t="s">
        <v>10</v>
      </c>
      <c r="E56">
        <v>200</v>
      </c>
      <c r="F56">
        <v>8.3800000000000008</v>
      </c>
      <c r="G56">
        <v>1676</v>
      </c>
    </row>
    <row r="57" spans="1:7">
      <c r="A57" s="17">
        <v>43533</v>
      </c>
      <c r="B57" s="1" t="s">
        <v>12</v>
      </c>
      <c r="C57" s="1" t="s">
        <v>46</v>
      </c>
      <c r="D57" s="1" t="s">
        <v>77</v>
      </c>
      <c r="E57">
        <v>73</v>
      </c>
      <c r="F57">
        <v>9.25</v>
      </c>
      <c r="G57">
        <v>675.25</v>
      </c>
    </row>
    <row r="58" spans="1:7">
      <c r="A58" s="17">
        <v>43689</v>
      </c>
      <c r="B58" s="1" t="s">
        <v>12</v>
      </c>
      <c r="C58" s="1" t="s">
        <v>17</v>
      </c>
      <c r="D58" s="1" t="s">
        <v>77</v>
      </c>
      <c r="E58">
        <v>48</v>
      </c>
      <c r="F58">
        <v>11.4</v>
      </c>
      <c r="G58">
        <v>547.20000000000005</v>
      </c>
    </row>
    <row r="59" spans="1:7">
      <c r="A59" s="17">
        <v>43585</v>
      </c>
      <c r="B59" s="1" t="s">
        <v>8</v>
      </c>
      <c r="C59" s="1" t="s">
        <v>26</v>
      </c>
      <c r="D59" s="1" t="s">
        <v>20</v>
      </c>
      <c r="E59">
        <v>116</v>
      </c>
      <c r="F59">
        <v>17.47</v>
      </c>
      <c r="G59">
        <v>2026.52</v>
      </c>
    </row>
    <row r="60" spans="1:7">
      <c r="A60" s="17">
        <v>43592</v>
      </c>
      <c r="B60" s="1" t="s">
        <v>19</v>
      </c>
      <c r="C60" s="1" t="s">
        <v>26</v>
      </c>
      <c r="D60" s="1" t="s">
        <v>24</v>
      </c>
      <c r="E60">
        <v>59</v>
      </c>
      <c r="F60">
        <v>12.42</v>
      </c>
      <c r="G60">
        <v>732.78</v>
      </c>
    </row>
    <row r="61" spans="1:7">
      <c r="A61" s="17">
        <v>43633</v>
      </c>
      <c r="B61" s="1" t="s">
        <v>12</v>
      </c>
      <c r="C61" s="1" t="s">
        <v>9</v>
      </c>
      <c r="D61" s="1" t="s">
        <v>20</v>
      </c>
      <c r="E61">
        <v>192</v>
      </c>
      <c r="F61">
        <v>9.56</v>
      </c>
      <c r="G61">
        <v>1835.52</v>
      </c>
    </row>
    <row r="62" spans="1:7">
      <c r="A62" s="17">
        <v>43743</v>
      </c>
      <c r="B62" s="1" t="s">
        <v>22</v>
      </c>
      <c r="C62" s="1" t="s">
        <v>60</v>
      </c>
      <c r="D62" s="1" t="s">
        <v>33</v>
      </c>
      <c r="E62">
        <v>55</v>
      </c>
      <c r="F62">
        <v>18.73</v>
      </c>
      <c r="G62">
        <v>1030.1500000000001</v>
      </c>
    </row>
    <row r="63" spans="1:7">
      <c r="A63" s="17">
        <v>43773</v>
      </c>
      <c r="B63" s="1" t="s">
        <v>12</v>
      </c>
      <c r="C63" s="1" t="s">
        <v>23</v>
      </c>
      <c r="D63" s="1" t="s">
        <v>38</v>
      </c>
      <c r="E63">
        <v>40</v>
      </c>
      <c r="F63">
        <v>5.54</v>
      </c>
      <c r="G63">
        <v>221.6</v>
      </c>
    </row>
    <row r="64" spans="1:7">
      <c r="A64" s="17">
        <v>43564</v>
      </c>
      <c r="B64" s="1" t="s">
        <v>19</v>
      </c>
      <c r="C64" s="1" t="s">
        <v>32</v>
      </c>
      <c r="D64" s="1" t="s">
        <v>43</v>
      </c>
      <c r="E64">
        <v>192</v>
      </c>
      <c r="F64">
        <v>8.32</v>
      </c>
      <c r="G64">
        <v>1597.44</v>
      </c>
    </row>
    <row r="65" spans="1:7">
      <c r="A65" s="17">
        <v>43664</v>
      </c>
      <c r="B65" s="1" t="s">
        <v>16</v>
      </c>
      <c r="C65" s="1" t="s">
        <v>23</v>
      </c>
      <c r="D65" s="1" t="s">
        <v>38</v>
      </c>
      <c r="E65">
        <v>114</v>
      </c>
      <c r="F65">
        <v>11.79</v>
      </c>
      <c r="G65">
        <v>1344.06</v>
      </c>
    </row>
    <row r="66" spans="1:7">
      <c r="A66" s="17">
        <v>43690</v>
      </c>
      <c r="B66" s="1" t="s">
        <v>22</v>
      </c>
      <c r="C66" s="1" t="s">
        <v>60</v>
      </c>
      <c r="D66" s="1" t="s">
        <v>24</v>
      </c>
      <c r="E66">
        <v>139</v>
      </c>
      <c r="F66">
        <v>7.09</v>
      </c>
      <c r="G66">
        <v>985.51</v>
      </c>
    </row>
    <row r="67" spans="1:7">
      <c r="A67" s="17">
        <v>43732</v>
      </c>
      <c r="B67" s="1" t="s">
        <v>22</v>
      </c>
      <c r="C67" s="1" t="s">
        <v>52</v>
      </c>
      <c r="D67" s="1" t="s">
        <v>10</v>
      </c>
      <c r="E67">
        <v>30</v>
      </c>
      <c r="F67">
        <v>2.2599999999999998</v>
      </c>
      <c r="G67">
        <v>67.8</v>
      </c>
    </row>
    <row r="68" spans="1:7">
      <c r="A68" s="17">
        <v>43679</v>
      </c>
      <c r="B68" s="1" t="s">
        <v>8</v>
      </c>
      <c r="C68" s="1" t="s">
        <v>26</v>
      </c>
      <c r="D68" s="1" t="s">
        <v>24</v>
      </c>
      <c r="E68">
        <v>132</v>
      </c>
      <c r="F68">
        <v>10.55</v>
      </c>
      <c r="G68">
        <v>1392.6</v>
      </c>
    </row>
    <row r="69" spans="1:7">
      <c r="A69" s="17">
        <v>43500</v>
      </c>
      <c r="B69" s="1" t="s">
        <v>16</v>
      </c>
      <c r="C69" s="1" t="s">
        <v>26</v>
      </c>
      <c r="D69" s="1" t="s">
        <v>35</v>
      </c>
      <c r="E69">
        <v>189</v>
      </c>
      <c r="F69">
        <v>11.88</v>
      </c>
      <c r="G69">
        <v>2245.3200000000002</v>
      </c>
    </row>
    <row r="70" spans="1:7">
      <c r="A70" s="17">
        <v>43630</v>
      </c>
      <c r="B70" s="1" t="s">
        <v>8</v>
      </c>
      <c r="C70" s="1" t="s">
        <v>9</v>
      </c>
      <c r="D70" s="1" t="s">
        <v>47</v>
      </c>
      <c r="E70">
        <v>199</v>
      </c>
      <c r="F70">
        <v>7.77</v>
      </c>
      <c r="G70">
        <v>1546.23</v>
      </c>
    </row>
    <row r="71" spans="1:7">
      <c r="A71" s="17">
        <v>43551</v>
      </c>
      <c r="B71" s="1" t="s">
        <v>22</v>
      </c>
      <c r="C71" s="1" t="s">
        <v>32</v>
      </c>
      <c r="D71" s="1" t="s">
        <v>14</v>
      </c>
      <c r="E71">
        <v>36</v>
      </c>
      <c r="F71">
        <v>6.09</v>
      </c>
      <c r="G71">
        <v>219.24</v>
      </c>
    </row>
    <row r="72" spans="1:7">
      <c r="A72" s="17">
        <v>43599</v>
      </c>
      <c r="B72" s="1" t="s">
        <v>22</v>
      </c>
      <c r="C72" s="1" t="s">
        <v>40</v>
      </c>
      <c r="D72" s="1" t="s">
        <v>77</v>
      </c>
      <c r="E72">
        <v>179</v>
      </c>
      <c r="F72">
        <v>6.04</v>
      </c>
      <c r="G72">
        <v>1081.1600000000001</v>
      </c>
    </row>
    <row r="73" spans="1:7">
      <c r="A73" s="17">
        <v>43672</v>
      </c>
      <c r="B73" s="1" t="s">
        <v>22</v>
      </c>
      <c r="C73" s="1" t="s">
        <v>9</v>
      </c>
      <c r="D73" s="1" t="s">
        <v>33</v>
      </c>
      <c r="E73">
        <v>51</v>
      </c>
      <c r="F73">
        <v>18.239999999999998</v>
      </c>
      <c r="G73">
        <v>930.24</v>
      </c>
    </row>
    <row r="74" spans="1:7">
      <c r="A74" s="17">
        <v>43632</v>
      </c>
      <c r="B74" s="1" t="s">
        <v>22</v>
      </c>
      <c r="C74" s="1" t="s">
        <v>23</v>
      </c>
      <c r="D74" s="1" t="s">
        <v>77</v>
      </c>
      <c r="E74">
        <v>164</v>
      </c>
      <c r="F74">
        <v>16.13</v>
      </c>
      <c r="G74">
        <v>2645.32</v>
      </c>
    </row>
    <row r="75" spans="1:7">
      <c r="A75" s="17">
        <v>43545</v>
      </c>
      <c r="B75" s="1" t="s">
        <v>12</v>
      </c>
      <c r="C75" s="1" t="s">
        <v>9</v>
      </c>
      <c r="D75" s="1" t="s">
        <v>47</v>
      </c>
      <c r="E75">
        <v>77</v>
      </c>
      <c r="F75">
        <v>10.66</v>
      </c>
      <c r="G75">
        <v>820.82</v>
      </c>
    </row>
    <row r="76" spans="1:7">
      <c r="A76" s="17">
        <v>43699</v>
      </c>
      <c r="B76" s="1" t="s">
        <v>22</v>
      </c>
      <c r="C76" s="1" t="s">
        <v>52</v>
      </c>
      <c r="D76" s="1" t="s">
        <v>35</v>
      </c>
      <c r="E76">
        <v>96</v>
      </c>
      <c r="F76">
        <v>17.63</v>
      </c>
      <c r="G76">
        <v>1692.48</v>
      </c>
    </row>
    <row r="77" spans="1:7">
      <c r="A77" s="17">
        <v>43526</v>
      </c>
      <c r="B77" s="1" t="s">
        <v>16</v>
      </c>
      <c r="C77" s="1" t="s">
        <v>46</v>
      </c>
      <c r="D77" s="1" t="s">
        <v>24</v>
      </c>
      <c r="E77">
        <v>96</v>
      </c>
      <c r="F77">
        <v>11.13</v>
      </c>
      <c r="G77">
        <v>1068.48</v>
      </c>
    </row>
    <row r="78" spans="1:7">
      <c r="A78" s="17">
        <v>43677</v>
      </c>
      <c r="B78" s="1" t="s">
        <v>12</v>
      </c>
      <c r="C78" s="1" t="s">
        <v>32</v>
      </c>
      <c r="D78" s="1" t="s">
        <v>14</v>
      </c>
      <c r="E78">
        <v>103</v>
      </c>
      <c r="F78">
        <v>1.63</v>
      </c>
      <c r="G78">
        <v>167.89</v>
      </c>
    </row>
    <row r="79" spans="1:7">
      <c r="A79" s="17">
        <v>43823</v>
      </c>
      <c r="B79" s="1" t="s">
        <v>8</v>
      </c>
      <c r="C79" s="1" t="s">
        <v>52</v>
      </c>
      <c r="D79" s="1" t="s">
        <v>20</v>
      </c>
      <c r="E79">
        <v>124</v>
      </c>
      <c r="F79">
        <v>8.2200000000000006</v>
      </c>
      <c r="G79">
        <v>1019.28</v>
      </c>
    </row>
    <row r="80" spans="1:7">
      <c r="A80" s="17">
        <v>43654</v>
      </c>
      <c r="B80" s="1" t="s">
        <v>16</v>
      </c>
      <c r="C80" s="1" t="s">
        <v>26</v>
      </c>
      <c r="D80" s="1" t="s">
        <v>43</v>
      </c>
      <c r="E80">
        <v>124</v>
      </c>
      <c r="F80">
        <v>9.2899999999999991</v>
      </c>
      <c r="G80">
        <v>1151.96</v>
      </c>
    </row>
    <row r="81" spans="1:7">
      <c r="A81" s="17">
        <v>43556</v>
      </c>
      <c r="B81" s="1" t="s">
        <v>12</v>
      </c>
      <c r="C81" s="1" t="s">
        <v>60</v>
      </c>
      <c r="D81" s="1" t="s">
        <v>35</v>
      </c>
      <c r="E81">
        <v>140</v>
      </c>
      <c r="F81">
        <v>15</v>
      </c>
      <c r="G81">
        <v>2100</v>
      </c>
    </row>
    <row r="82" spans="1:7">
      <c r="A82" s="17">
        <v>43590</v>
      </c>
      <c r="B82" s="1" t="s">
        <v>19</v>
      </c>
      <c r="C82" s="1" t="s">
        <v>26</v>
      </c>
      <c r="D82" s="1" t="s">
        <v>77</v>
      </c>
      <c r="E82">
        <v>135</v>
      </c>
      <c r="F82">
        <v>6.93</v>
      </c>
      <c r="G82">
        <v>935.55</v>
      </c>
    </row>
    <row r="83" spans="1:7">
      <c r="A83" s="17">
        <v>43545</v>
      </c>
      <c r="B83" s="1" t="s">
        <v>16</v>
      </c>
      <c r="C83" s="1" t="s">
        <v>26</v>
      </c>
      <c r="D83" s="1" t="s">
        <v>14</v>
      </c>
      <c r="E83">
        <v>180</v>
      </c>
      <c r="F83">
        <v>12.5</v>
      </c>
      <c r="G83">
        <v>2250</v>
      </c>
    </row>
    <row r="84" spans="1:7">
      <c r="A84" s="17">
        <v>43797</v>
      </c>
      <c r="B84" s="1" t="s">
        <v>8</v>
      </c>
      <c r="C84" s="1" t="s">
        <v>60</v>
      </c>
      <c r="D84" s="1" t="s">
        <v>43</v>
      </c>
      <c r="E84">
        <v>54</v>
      </c>
      <c r="F84">
        <v>1.45</v>
      </c>
      <c r="G84">
        <v>78.3</v>
      </c>
    </row>
    <row r="85" spans="1:7">
      <c r="A85" s="17">
        <v>43614</v>
      </c>
      <c r="B85" s="1" t="s">
        <v>12</v>
      </c>
      <c r="C85" s="1" t="s">
        <v>26</v>
      </c>
      <c r="D85" s="1" t="s">
        <v>24</v>
      </c>
      <c r="E85">
        <v>100</v>
      </c>
      <c r="F85">
        <v>2.42</v>
      </c>
      <c r="G85">
        <v>242</v>
      </c>
    </row>
    <row r="86" spans="1:7">
      <c r="A86" s="17">
        <v>43490</v>
      </c>
      <c r="B86" s="1" t="s">
        <v>12</v>
      </c>
      <c r="C86" s="1" t="s">
        <v>17</v>
      </c>
      <c r="D86" s="1" t="s">
        <v>24</v>
      </c>
      <c r="E86">
        <v>117</v>
      </c>
      <c r="F86">
        <v>7.69</v>
      </c>
      <c r="G86">
        <v>899.73</v>
      </c>
    </row>
    <row r="87" spans="1:7">
      <c r="A87" s="17">
        <v>43468</v>
      </c>
      <c r="B87" s="1" t="s">
        <v>8</v>
      </c>
      <c r="C87" s="1" t="s">
        <v>26</v>
      </c>
      <c r="D87" s="1" t="s">
        <v>35</v>
      </c>
      <c r="E87">
        <v>82</v>
      </c>
      <c r="F87">
        <v>15.88</v>
      </c>
      <c r="G87">
        <v>1302.1600000000001</v>
      </c>
    </row>
    <row r="88" spans="1:7">
      <c r="A88" s="17">
        <v>43660</v>
      </c>
      <c r="B88" s="1" t="s">
        <v>12</v>
      </c>
      <c r="C88" s="1" t="s">
        <v>32</v>
      </c>
      <c r="D88" s="1" t="s">
        <v>47</v>
      </c>
      <c r="E88">
        <v>121</v>
      </c>
      <c r="F88">
        <v>11.82</v>
      </c>
      <c r="G88">
        <v>1430.22</v>
      </c>
    </row>
    <row r="89" spans="1:7">
      <c r="A89" s="17">
        <v>43805</v>
      </c>
      <c r="B89" s="1" t="s">
        <v>16</v>
      </c>
      <c r="C89" s="1" t="s">
        <v>52</v>
      </c>
      <c r="D89" s="1" t="s">
        <v>33</v>
      </c>
      <c r="E89">
        <v>81</v>
      </c>
      <c r="F89">
        <v>10.9</v>
      </c>
      <c r="G89">
        <v>882.9</v>
      </c>
    </row>
    <row r="90" spans="1:7">
      <c r="A90" s="17">
        <v>43479</v>
      </c>
      <c r="B90" s="1" t="s">
        <v>12</v>
      </c>
      <c r="C90" s="1" t="s">
        <v>40</v>
      </c>
      <c r="D90" s="1" t="s">
        <v>77</v>
      </c>
      <c r="E90">
        <v>75</v>
      </c>
      <c r="F90">
        <v>6.68</v>
      </c>
      <c r="G90">
        <v>501</v>
      </c>
    </row>
    <row r="91" spans="1:7">
      <c r="A91" s="17">
        <v>43612</v>
      </c>
      <c r="B91" s="1" t="s">
        <v>12</v>
      </c>
      <c r="C91" s="1" t="s">
        <v>17</v>
      </c>
      <c r="D91" s="1" t="s">
        <v>24</v>
      </c>
      <c r="E91">
        <v>20</v>
      </c>
      <c r="F91">
        <v>11.82</v>
      </c>
      <c r="G91">
        <v>236.4</v>
      </c>
    </row>
    <row r="92" spans="1:7">
      <c r="A92" s="17">
        <v>43691</v>
      </c>
      <c r="B92" s="1" t="s">
        <v>19</v>
      </c>
      <c r="C92" s="1" t="s">
        <v>17</v>
      </c>
      <c r="D92" s="1" t="s">
        <v>35</v>
      </c>
      <c r="E92">
        <v>145</v>
      </c>
      <c r="F92">
        <v>14.3</v>
      </c>
      <c r="G92">
        <v>2073.5</v>
      </c>
    </row>
    <row r="93" spans="1:7">
      <c r="A93" s="17">
        <v>43709</v>
      </c>
      <c r="B93" s="1" t="s">
        <v>22</v>
      </c>
      <c r="C93" s="1" t="s">
        <v>40</v>
      </c>
      <c r="D93" s="1" t="s">
        <v>38</v>
      </c>
      <c r="E93">
        <v>91</v>
      </c>
      <c r="F93">
        <v>15.42</v>
      </c>
      <c r="G93">
        <v>1403.22</v>
      </c>
    </row>
    <row r="94" spans="1:7">
      <c r="A94" s="17">
        <v>43722</v>
      </c>
      <c r="B94" s="1" t="s">
        <v>22</v>
      </c>
      <c r="C94" s="1" t="s">
        <v>52</v>
      </c>
      <c r="D94" s="1" t="s">
        <v>33</v>
      </c>
      <c r="E94">
        <v>79</v>
      </c>
      <c r="F94">
        <v>9.58</v>
      </c>
      <c r="G94">
        <v>756.82</v>
      </c>
    </row>
    <row r="95" spans="1:7">
      <c r="A95" s="17">
        <v>43648</v>
      </c>
      <c r="B95" s="1" t="s">
        <v>8</v>
      </c>
      <c r="C95" s="1" t="s">
        <v>9</v>
      </c>
      <c r="D95" s="1" t="s">
        <v>14</v>
      </c>
      <c r="E95">
        <v>177</v>
      </c>
      <c r="F95">
        <v>8.9499999999999993</v>
      </c>
      <c r="G95">
        <v>1584.15</v>
      </c>
    </row>
    <row r="96" spans="1:7">
      <c r="A96" s="17">
        <v>43763</v>
      </c>
      <c r="B96" s="1" t="s">
        <v>22</v>
      </c>
      <c r="C96" s="1" t="s">
        <v>9</v>
      </c>
      <c r="D96" s="1" t="s">
        <v>47</v>
      </c>
      <c r="E96">
        <v>169</v>
      </c>
      <c r="F96">
        <v>18.62</v>
      </c>
      <c r="G96">
        <v>3146.78</v>
      </c>
    </row>
    <row r="97" spans="1:7">
      <c r="A97" s="17">
        <v>43818</v>
      </c>
      <c r="B97" s="1" t="s">
        <v>12</v>
      </c>
      <c r="C97" s="1" t="s">
        <v>9</v>
      </c>
      <c r="D97" s="1" t="s">
        <v>43</v>
      </c>
      <c r="E97">
        <v>103</v>
      </c>
      <c r="F97">
        <v>3.74</v>
      </c>
      <c r="G97">
        <v>385.22</v>
      </c>
    </row>
    <row r="98" spans="1:7">
      <c r="A98" s="17">
        <v>43507</v>
      </c>
      <c r="B98" s="1" t="s">
        <v>22</v>
      </c>
      <c r="C98" s="1" t="s">
        <v>60</v>
      </c>
      <c r="D98" s="1" t="s">
        <v>43</v>
      </c>
      <c r="E98">
        <v>67</v>
      </c>
      <c r="F98">
        <v>12.98</v>
      </c>
      <c r="G98">
        <v>869.66</v>
      </c>
    </row>
    <row r="99" spans="1:7">
      <c r="A99" s="17">
        <v>43552</v>
      </c>
      <c r="B99" s="1" t="s">
        <v>16</v>
      </c>
      <c r="C99" s="1" t="s">
        <v>32</v>
      </c>
      <c r="D99" s="1" t="s">
        <v>35</v>
      </c>
      <c r="E99">
        <v>148</v>
      </c>
      <c r="F99">
        <v>2.71</v>
      </c>
      <c r="G99">
        <v>401.08</v>
      </c>
    </row>
    <row r="100" spans="1:7">
      <c r="A100" s="17">
        <v>43541</v>
      </c>
      <c r="B100" s="1" t="s">
        <v>8</v>
      </c>
      <c r="C100" s="1" t="s">
        <v>52</v>
      </c>
      <c r="D100" s="1" t="s">
        <v>35</v>
      </c>
      <c r="E100">
        <v>184</v>
      </c>
      <c r="F100">
        <v>4.3</v>
      </c>
      <c r="G100">
        <v>791.2</v>
      </c>
    </row>
    <row r="101" spans="1:7">
      <c r="A101" s="17">
        <v>43558</v>
      </c>
      <c r="B101" s="1" t="s">
        <v>19</v>
      </c>
      <c r="C101" s="1" t="s">
        <v>40</v>
      </c>
      <c r="D101" s="1" t="s">
        <v>77</v>
      </c>
      <c r="E101">
        <v>20</v>
      </c>
      <c r="F101">
        <v>10.199999999999999</v>
      </c>
      <c r="G101">
        <v>204</v>
      </c>
    </row>
    <row r="102" spans="1:7">
      <c r="A102" s="17">
        <v>43642</v>
      </c>
      <c r="B102" s="1" t="s">
        <v>19</v>
      </c>
      <c r="C102" s="1" t="s">
        <v>13</v>
      </c>
      <c r="D102" s="1" t="s">
        <v>43</v>
      </c>
      <c r="E102">
        <v>114</v>
      </c>
      <c r="F102">
        <v>9.08</v>
      </c>
      <c r="G102">
        <v>1035.1199999999999</v>
      </c>
    </row>
    <row r="103" spans="1:7">
      <c r="A103" s="17">
        <v>43694</v>
      </c>
      <c r="B103" s="1" t="s">
        <v>12</v>
      </c>
      <c r="C103" s="1" t="s">
        <v>9</v>
      </c>
      <c r="D103" s="1" t="s">
        <v>38</v>
      </c>
      <c r="E103">
        <v>56</v>
      </c>
      <c r="F103">
        <v>18.920000000000002</v>
      </c>
      <c r="G103">
        <v>1059.52</v>
      </c>
    </row>
    <row r="104" spans="1:7">
      <c r="A104" s="17">
        <v>43567</v>
      </c>
      <c r="B104" s="1" t="s">
        <v>12</v>
      </c>
      <c r="C104" s="1" t="s">
        <v>13</v>
      </c>
      <c r="D104" s="1" t="s">
        <v>20</v>
      </c>
      <c r="E104">
        <v>65</v>
      </c>
      <c r="F104">
        <v>9.36</v>
      </c>
      <c r="G104">
        <v>608.4</v>
      </c>
    </row>
    <row r="105" spans="1:7">
      <c r="A105" s="17">
        <v>43772</v>
      </c>
      <c r="B105" s="1" t="s">
        <v>19</v>
      </c>
      <c r="C105" s="1" t="s">
        <v>17</v>
      </c>
      <c r="D105" s="1" t="s">
        <v>14</v>
      </c>
      <c r="E105">
        <v>59</v>
      </c>
      <c r="F105">
        <v>8.84</v>
      </c>
      <c r="G105">
        <v>521.55999999999995</v>
      </c>
    </row>
    <row r="106" spans="1:7">
      <c r="A106" s="17">
        <v>43688</v>
      </c>
      <c r="B106" s="1" t="s">
        <v>8</v>
      </c>
      <c r="C106" s="1" t="s">
        <v>13</v>
      </c>
      <c r="D106" s="1" t="s">
        <v>33</v>
      </c>
      <c r="E106">
        <v>29</v>
      </c>
      <c r="F106">
        <v>10.53</v>
      </c>
      <c r="G106">
        <v>305.37</v>
      </c>
    </row>
    <row r="107" spans="1:7">
      <c r="A107" s="17">
        <v>43800</v>
      </c>
      <c r="B107" s="1" t="s">
        <v>19</v>
      </c>
      <c r="C107" s="1" t="s">
        <v>40</v>
      </c>
      <c r="D107" s="1" t="s">
        <v>14</v>
      </c>
      <c r="E107">
        <v>46</v>
      </c>
      <c r="F107">
        <v>10.67</v>
      </c>
      <c r="G107">
        <v>490.82</v>
      </c>
    </row>
    <row r="108" spans="1:7">
      <c r="A108" s="17">
        <v>43562</v>
      </c>
      <c r="B108" s="1" t="s">
        <v>22</v>
      </c>
      <c r="C108" s="1" t="s">
        <v>13</v>
      </c>
      <c r="D108" s="1" t="s">
        <v>10</v>
      </c>
      <c r="E108">
        <v>153</v>
      </c>
      <c r="F108">
        <v>4.1399999999999997</v>
      </c>
      <c r="G108">
        <v>633.41999999999996</v>
      </c>
    </row>
    <row r="109" spans="1:7">
      <c r="A109" s="17">
        <v>43775</v>
      </c>
      <c r="B109" s="1" t="s">
        <v>22</v>
      </c>
      <c r="C109" s="1" t="s">
        <v>17</v>
      </c>
      <c r="D109" s="1" t="s">
        <v>10</v>
      </c>
      <c r="E109">
        <v>40</v>
      </c>
      <c r="F109">
        <v>1.27</v>
      </c>
      <c r="G109">
        <v>50.8</v>
      </c>
    </row>
    <row r="110" spans="1:7">
      <c r="A110" s="17">
        <v>43763</v>
      </c>
      <c r="B110" s="1" t="s">
        <v>16</v>
      </c>
      <c r="C110" s="1" t="s">
        <v>9</v>
      </c>
      <c r="D110" s="1" t="s">
        <v>77</v>
      </c>
      <c r="E110">
        <v>30</v>
      </c>
      <c r="F110">
        <v>7.46</v>
      </c>
      <c r="G110">
        <v>223.8</v>
      </c>
    </row>
    <row r="111" spans="1:7">
      <c r="A111" s="17">
        <v>43519</v>
      </c>
      <c r="B111" s="1" t="s">
        <v>16</v>
      </c>
      <c r="C111" s="1" t="s">
        <v>23</v>
      </c>
      <c r="D111" s="1" t="s">
        <v>77</v>
      </c>
      <c r="E111">
        <v>51</v>
      </c>
      <c r="F111">
        <v>15.16</v>
      </c>
      <c r="G111">
        <v>773.16</v>
      </c>
    </row>
    <row r="112" spans="1:7">
      <c r="A112" s="17">
        <v>43535</v>
      </c>
      <c r="B112" s="1" t="s">
        <v>19</v>
      </c>
      <c r="C112" s="1" t="s">
        <v>26</v>
      </c>
      <c r="D112" s="1" t="s">
        <v>33</v>
      </c>
      <c r="E112">
        <v>14</v>
      </c>
      <c r="F112">
        <v>2.37</v>
      </c>
      <c r="G112">
        <v>33.18</v>
      </c>
    </row>
    <row r="113" spans="1:7">
      <c r="A113" s="17">
        <v>43729</v>
      </c>
      <c r="B113" s="1" t="s">
        <v>12</v>
      </c>
      <c r="C113" s="1" t="s">
        <v>13</v>
      </c>
      <c r="D113" s="1" t="s">
        <v>43</v>
      </c>
      <c r="E113">
        <v>116</v>
      </c>
      <c r="F113">
        <v>9.93</v>
      </c>
      <c r="G113">
        <v>1151.8800000000001</v>
      </c>
    </row>
    <row r="114" spans="1:7">
      <c r="A114" s="17">
        <v>43804</v>
      </c>
      <c r="B114" s="1" t="s">
        <v>8</v>
      </c>
      <c r="C114" s="1" t="s">
        <v>9</v>
      </c>
      <c r="D114" s="1" t="s">
        <v>47</v>
      </c>
      <c r="E114">
        <v>196</v>
      </c>
      <c r="F114">
        <v>6.36</v>
      </c>
      <c r="G114">
        <v>1246.56</v>
      </c>
    </row>
    <row r="115" spans="1:7">
      <c r="A115" s="17">
        <v>43826</v>
      </c>
      <c r="B115" s="1" t="s">
        <v>12</v>
      </c>
      <c r="C115" s="1" t="s">
        <v>46</v>
      </c>
      <c r="D115" s="1" t="s">
        <v>24</v>
      </c>
      <c r="E115">
        <v>73</v>
      </c>
      <c r="F115">
        <v>7.35</v>
      </c>
      <c r="G115">
        <v>536.54999999999995</v>
      </c>
    </row>
    <row r="116" spans="1:7">
      <c r="A116" s="17">
        <v>43724</v>
      </c>
      <c r="B116" s="1" t="s">
        <v>19</v>
      </c>
      <c r="C116" s="1" t="s">
        <v>52</v>
      </c>
      <c r="D116" s="1" t="s">
        <v>10</v>
      </c>
      <c r="E116">
        <v>60</v>
      </c>
      <c r="F116">
        <v>2.97</v>
      </c>
      <c r="G116">
        <v>178.2</v>
      </c>
    </row>
    <row r="117" spans="1:7">
      <c r="A117" s="17">
        <v>43704</v>
      </c>
      <c r="B117" s="1" t="s">
        <v>19</v>
      </c>
      <c r="C117" s="1" t="s">
        <v>52</v>
      </c>
      <c r="D117" s="1" t="s">
        <v>43</v>
      </c>
      <c r="E117">
        <v>126</v>
      </c>
      <c r="F117">
        <v>14.23</v>
      </c>
      <c r="G117">
        <v>1792.98</v>
      </c>
    </row>
    <row r="118" spans="1:7">
      <c r="A118" s="17">
        <v>43810</v>
      </c>
      <c r="B118" s="1" t="s">
        <v>19</v>
      </c>
      <c r="C118" s="1" t="s">
        <v>46</v>
      </c>
      <c r="D118" s="1" t="s">
        <v>43</v>
      </c>
      <c r="E118">
        <v>139</v>
      </c>
      <c r="F118">
        <v>6.36</v>
      </c>
      <c r="G118">
        <v>884.04</v>
      </c>
    </row>
    <row r="119" spans="1:7">
      <c r="A119" s="17">
        <v>43797</v>
      </c>
      <c r="B119" s="1" t="s">
        <v>16</v>
      </c>
      <c r="C119" s="1" t="s">
        <v>32</v>
      </c>
      <c r="D119" s="1" t="s">
        <v>33</v>
      </c>
      <c r="E119">
        <v>66</v>
      </c>
      <c r="F119">
        <v>18.07</v>
      </c>
      <c r="G119">
        <v>1192.6199999999999</v>
      </c>
    </row>
    <row r="120" spans="1:7">
      <c r="A120" s="17">
        <v>43481</v>
      </c>
      <c r="B120" s="1" t="s">
        <v>16</v>
      </c>
      <c r="C120" s="1" t="s">
        <v>9</v>
      </c>
      <c r="D120" s="1" t="s">
        <v>24</v>
      </c>
      <c r="E120">
        <v>101</v>
      </c>
      <c r="F120">
        <v>10.67</v>
      </c>
      <c r="G120">
        <v>1077.67</v>
      </c>
    </row>
    <row r="121" spans="1:7">
      <c r="A121" s="17">
        <v>43598</v>
      </c>
      <c r="B121" s="1" t="s">
        <v>16</v>
      </c>
      <c r="C121" s="1" t="s">
        <v>46</v>
      </c>
      <c r="D121" s="1" t="s">
        <v>35</v>
      </c>
      <c r="E121">
        <v>181</v>
      </c>
      <c r="F121">
        <v>18.899999999999999</v>
      </c>
      <c r="G121">
        <v>3420.9</v>
      </c>
    </row>
    <row r="122" spans="1:7">
      <c r="A122" s="17">
        <v>43783</v>
      </c>
      <c r="B122" s="1" t="s">
        <v>16</v>
      </c>
      <c r="C122" s="1" t="s">
        <v>32</v>
      </c>
      <c r="D122" s="1" t="s">
        <v>33</v>
      </c>
      <c r="E122">
        <v>65</v>
      </c>
      <c r="F122">
        <v>5.1100000000000003</v>
      </c>
      <c r="G122">
        <v>332.15</v>
      </c>
    </row>
    <row r="123" spans="1:7">
      <c r="A123" s="17">
        <v>43756</v>
      </c>
      <c r="B123" s="1" t="s">
        <v>8</v>
      </c>
      <c r="C123" s="1" t="s">
        <v>26</v>
      </c>
      <c r="D123" s="1" t="s">
        <v>20</v>
      </c>
      <c r="E123">
        <v>77</v>
      </c>
      <c r="F123">
        <v>7.45</v>
      </c>
      <c r="G123">
        <v>573.65</v>
      </c>
    </row>
    <row r="124" spans="1:7">
      <c r="A124" s="17">
        <v>43756</v>
      </c>
      <c r="B124" s="1" t="s">
        <v>22</v>
      </c>
      <c r="C124" s="1" t="s">
        <v>32</v>
      </c>
      <c r="D124" s="1" t="s">
        <v>77</v>
      </c>
      <c r="E124">
        <v>83</v>
      </c>
      <c r="F124">
        <v>13.5</v>
      </c>
      <c r="G124">
        <v>1120.5</v>
      </c>
    </row>
    <row r="125" spans="1:7">
      <c r="A125" s="17">
        <v>43602</v>
      </c>
      <c r="B125" s="1" t="s">
        <v>16</v>
      </c>
      <c r="C125" s="1" t="s">
        <v>46</v>
      </c>
      <c r="D125" s="1" t="s">
        <v>38</v>
      </c>
      <c r="E125">
        <v>109</v>
      </c>
      <c r="F125">
        <v>19.23</v>
      </c>
      <c r="G125">
        <v>2096.0700000000002</v>
      </c>
    </row>
    <row r="126" spans="1:7">
      <c r="A126" s="17">
        <v>43808</v>
      </c>
      <c r="B126" s="1" t="s">
        <v>16</v>
      </c>
      <c r="C126" s="1" t="s">
        <v>9</v>
      </c>
      <c r="D126" s="1" t="s">
        <v>77</v>
      </c>
      <c r="E126">
        <v>186</v>
      </c>
      <c r="F126">
        <v>14.48</v>
      </c>
      <c r="G126">
        <v>2693.28</v>
      </c>
    </row>
    <row r="127" spans="1:7">
      <c r="A127" s="17">
        <v>43818</v>
      </c>
      <c r="B127" s="1" t="s">
        <v>22</v>
      </c>
      <c r="C127" s="1" t="s">
        <v>23</v>
      </c>
      <c r="D127" s="1" t="s">
        <v>77</v>
      </c>
      <c r="E127">
        <v>45</v>
      </c>
      <c r="F127">
        <v>2.06</v>
      </c>
      <c r="G127">
        <v>92.7</v>
      </c>
    </row>
    <row r="128" spans="1:7">
      <c r="A128" s="17">
        <v>43468</v>
      </c>
      <c r="B128" s="1" t="s">
        <v>22</v>
      </c>
      <c r="C128" s="1" t="s">
        <v>26</v>
      </c>
      <c r="D128" s="1" t="s">
        <v>20</v>
      </c>
      <c r="E128">
        <v>84</v>
      </c>
      <c r="F128">
        <v>19.77</v>
      </c>
      <c r="G128">
        <v>1660.68</v>
      </c>
    </row>
    <row r="129" spans="1:7">
      <c r="A129" s="17">
        <v>43751</v>
      </c>
      <c r="B129" s="1" t="s">
        <v>19</v>
      </c>
      <c r="C129" s="1" t="s">
        <v>46</v>
      </c>
      <c r="D129" s="1" t="s">
        <v>14</v>
      </c>
      <c r="E129">
        <v>68</v>
      </c>
      <c r="F129">
        <v>4.3899999999999997</v>
      </c>
      <c r="G129">
        <v>298.52</v>
      </c>
    </row>
    <row r="130" spans="1:7">
      <c r="A130" s="17">
        <v>43724</v>
      </c>
      <c r="B130" s="1" t="s">
        <v>22</v>
      </c>
      <c r="C130" s="1" t="s">
        <v>40</v>
      </c>
      <c r="D130" s="1" t="s">
        <v>14</v>
      </c>
      <c r="E130">
        <v>196</v>
      </c>
      <c r="F130">
        <v>18.07</v>
      </c>
      <c r="G130">
        <v>3541.72</v>
      </c>
    </row>
    <row r="131" spans="1:7">
      <c r="A131" s="17">
        <v>43512</v>
      </c>
      <c r="B131" s="1" t="s">
        <v>22</v>
      </c>
      <c r="C131" s="1" t="s">
        <v>9</v>
      </c>
      <c r="D131" s="1" t="s">
        <v>38</v>
      </c>
      <c r="E131">
        <v>125</v>
      </c>
      <c r="F131">
        <v>1.98</v>
      </c>
      <c r="G131">
        <v>247.5</v>
      </c>
    </row>
    <row r="132" spans="1:7">
      <c r="A132" s="17">
        <v>43522</v>
      </c>
      <c r="B132" s="1" t="s">
        <v>19</v>
      </c>
      <c r="C132" s="1" t="s">
        <v>32</v>
      </c>
      <c r="D132" s="1" t="s">
        <v>10</v>
      </c>
      <c r="E132">
        <v>69</v>
      </c>
      <c r="F132">
        <v>18.57</v>
      </c>
      <c r="G132">
        <v>1281.33</v>
      </c>
    </row>
    <row r="133" spans="1:7">
      <c r="A133" s="17">
        <v>43791</v>
      </c>
      <c r="B133" s="1" t="s">
        <v>8</v>
      </c>
      <c r="C133" s="1" t="s">
        <v>52</v>
      </c>
      <c r="D133" s="1" t="s">
        <v>38</v>
      </c>
      <c r="E133">
        <v>184</v>
      </c>
      <c r="F133">
        <v>16.36</v>
      </c>
      <c r="G133">
        <v>3010.24</v>
      </c>
    </row>
    <row r="134" spans="1:7">
      <c r="A134" s="17">
        <v>43729</v>
      </c>
      <c r="B134" s="1" t="s">
        <v>12</v>
      </c>
      <c r="C134" s="1" t="s">
        <v>40</v>
      </c>
      <c r="D134" s="1" t="s">
        <v>38</v>
      </c>
      <c r="E134">
        <v>176</v>
      </c>
      <c r="F134">
        <v>6.39</v>
      </c>
      <c r="G134">
        <v>1124.6400000000001</v>
      </c>
    </row>
    <row r="135" spans="1:7">
      <c r="A135" s="17">
        <v>43820</v>
      </c>
      <c r="B135" s="1" t="s">
        <v>16</v>
      </c>
      <c r="C135" s="1" t="s">
        <v>60</v>
      </c>
      <c r="D135" s="1" t="s">
        <v>43</v>
      </c>
      <c r="E135">
        <v>112</v>
      </c>
      <c r="F135">
        <v>16.45</v>
      </c>
      <c r="G135">
        <v>1842.4</v>
      </c>
    </row>
    <row r="136" spans="1:7">
      <c r="A136" s="17">
        <v>43532</v>
      </c>
      <c r="B136" s="1" t="s">
        <v>19</v>
      </c>
      <c r="C136" s="1" t="s">
        <v>40</v>
      </c>
      <c r="D136" s="1" t="s">
        <v>33</v>
      </c>
      <c r="E136">
        <v>10</v>
      </c>
      <c r="F136">
        <v>19.41</v>
      </c>
      <c r="G136">
        <v>194.1</v>
      </c>
    </row>
    <row r="137" spans="1:7">
      <c r="A137" s="17">
        <v>43810</v>
      </c>
      <c r="B137" s="1" t="s">
        <v>22</v>
      </c>
      <c r="C137" s="1" t="s">
        <v>23</v>
      </c>
      <c r="D137" s="1" t="s">
        <v>77</v>
      </c>
      <c r="E137">
        <v>34</v>
      </c>
      <c r="F137">
        <v>15.27</v>
      </c>
      <c r="G137">
        <v>519.17999999999995</v>
      </c>
    </row>
    <row r="138" spans="1:7">
      <c r="A138" s="17">
        <v>43705</v>
      </c>
      <c r="B138" s="1" t="s">
        <v>12</v>
      </c>
      <c r="C138" s="1" t="s">
        <v>9</v>
      </c>
      <c r="D138" s="1" t="s">
        <v>33</v>
      </c>
      <c r="E138">
        <v>60</v>
      </c>
      <c r="F138">
        <v>12.15</v>
      </c>
      <c r="G138">
        <v>729</v>
      </c>
    </row>
    <row r="139" spans="1:7">
      <c r="A139" s="17">
        <v>43732</v>
      </c>
      <c r="B139" s="1" t="s">
        <v>16</v>
      </c>
      <c r="C139" s="1" t="s">
        <v>17</v>
      </c>
      <c r="D139" s="1" t="s">
        <v>77</v>
      </c>
      <c r="E139">
        <v>168</v>
      </c>
      <c r="F139">
        <v>1.8</v>
      </c>
      <c r="G139">
        <v>302.39999999999998</v>
      </c>
    </row>
    <row r="140" spans="1:7">
      <c r="A140" s="17">
        <v>43591</v>
      </c>
      <c r="B140" s="1" t="s">
        <v>16</v>
      </c>
      <c r="C140" s="1" t="s">
        <v>46</v>
      </c>
      <c r="D140" s="1" t="s">
        <v>24</v>
      </c>
      <c r="E140">
        <v>51</v>
      </c>
      <c r="F140">
        <v>2.5499999999999998</v>
      </c>
      <c r="G140">
        <v>130.05000000000001</v>
      </c>
    </row>
    <row r="141" spans="1:7">
      <c r="A141" s="17">
        <v>43691</v>
      </c>
      <c r="B141" s="1" t="s">
        <v>8</v>
      </c>
      <c r="C141" s="1" t="s">
        <v>52</v>
      </c>
      <c r="D141" s="1" t="s">
        <v>77</v>
      </c>
      <c r="E141">
        <v>156</v>
      </c>
      <c r="F141">
        <v>19.32</v>
      </c>
      <c r="G141">
        <v>3013.92</v>
      </c>
    </row>
    <row r="142" spans="1:7">
      <c r="A142" s="17">
        <v>43478</v>
      </c>
      <c r="B142" s="1" t="s">
        <v>19</v>
      </c>
      <c r="C142" s="1" t="s">
        <v>17</v>
      </c>
      <c r="D142" s="1" t="s">
        <v>35</v>
      </c>
      <c r="E142">
        <v>79</v>
      </c>
      <c r="F142">
        <v>9.34</v>
      </c>
      <c r="G142">
        <v>737.86</v>
      </c>
    </row>
    <row r="143" spans="1:7">
      <c r="A143" s="17">
        <v>43752</v>
      </c>
      <c r="B143" s="1" t="s">
        <v>22</v>
      </c>
      <c r="C143" s="1" t="s">
        <v>9</v>
      </c>
      <c r="D143" s="1" t="s">
        <v>38</v>
      </c>
      <c r="E143">
        <v>173</v>
      </c>
      <c r="F143">
        <v>6.58</v>
      </c>
      <c r="G143">
        <v>1138.3399999999999</v>
      </c>
    </row>
    <row r="144" spans="1:7">
      <c r="A144" s="17">
        <v>43619</v>
      </c>
      <c r="B144" s="1" t="s">
        <v>8</v>
      </c>
      <c r="C144" s="1" t="s">
        <v>23</v>
      </c>
      <c r="D144" s="1" t="s">
        <v>14</v>
      </c>
      <c r="E144">
        <v>118</v>
      </c>
      <c r="F144">
        <v>18.28</v>
      </c>
      <c r="G144">
        <v>2157.04</v>
      </c>
    </row>
    <row r="145" spans="1:7">
      <c r="A145" s="17">
        <v>43543</v>
      </c>
      <c r="B145" s="1" t="s">
        <v>16</v>
      </c>
      <c r="C145" s="1" t="s">
        <v>13</v>
      </c>
      <c r="D145" s="1" t="s">
        <v>24</v>
      </c>
      <c r="E145">
        <v>152</v>
      </c>
      <c r="F145">
        <v>7.78</v>
      </c>
      <c r="G145">
        <v>1182.56</v>
      </c>
    </row>
    <row r="146" spans="1:7">
      <c r="A146" s="17">
        <v>43480</v>
      </c>
      <c r="B146" s="1" t="s">
        <v>22</v>
      </c>
      <c r="C146" s="1" t="s">
        <v>32</v>
      </c>
      <c r="D146" s="1" t="s">
        <v>24</v>
      </c>
      <c r="E146">
        <v>177</v>
      </c>
      <c r="F146">
        <v>15.35</v>
      </c>
      <c r="G146">
        <v>2716.95</v>
      </c>
    </row>
    <row r="147" spans="1:7">
      <c r="A147" s="17">
        <v>43525</v>
      </c>
      <c r="B147" s="1" t="s">
        <v>22</v>
      </c>
      <c r="C147" s="1" t="s">
        <v>46</v>
      </c>
      <c r="D147" s="1" t="s">
        <v>10</v>
      </c>
      <c r="E147">
        <v>99</v>
      </c>
      <c r="F147">
        <v>2.61</v>
      </c>
      <c r="G147">
        <v>258.39</v>
      </c>
    </row>
    <row r="148" spans="1:7">
      <c r="A148" s="17">
        <v>43513</v>
      </c>
      <c r="B148" s="1" t="s">
        <v>12</v>
      </c>
      <c r="C148" s="1" t="s">
        <v>46</v>
      </c>
      <c r="D148" s="1" t="s">
        <v>24</v>
      </c>
      <c r="E148">
        <v>153</v>
      </c>
      <c r="F148">
        <v>15.32</v>
      </c>
      <c r="G148">
        <v>2343.96</v>
      </c>
    </row>
    <row r="149" spans="1:7">
      <c r="A149" s="17">
        <v>43673</v>
      </c>
      <c r="B149" s="1" t="s">
        <v>12</v>
      </c>
      <c r="C149" s="1" t="s">
        <v>46</v>
      </c>
      <c r="D149" s="1" t="s">
        <v>14</v>
      </c>
      <c r="E149">
        <v>13</v>
      </c>
      <c r="F149">
        <v>19.989999999999998</v>
      </c>
      <c r="G149">
        <v>259.87</v>
      </c>
    </row>
    <row r="150" spans="1:7">
      <c r="A150" s="17">
        <v>43475</v>
      </c>
      <c r="B150" s="1" t="s">
        <v>12</v>
      </c>
      <c r="C150" s="1" t="s">
        <v>52</v>
      </c>
      <c r="D150" s="1" t="s">
        <v>20</v>
      </c>
      <c r="E150">
        <v>39</v>
      </c>
      <c r="F150">
        <v>15.54</v>
      </c>
      <c r="G150">
        <v>606.05999999999995</v>
      </c>
    </row>
    <row r="151" spans="1:7">
      <c r="A151" s="17">
        <v>43708</v>
      </c>
      <c r="B151" s="1" t="s">
        <v>16</v>
      </c>
      <c r="C151" s="1" t="s">
        <v>32</v>
      </c>
      <c r="D151" s="1" t="s">
        <v>14</v>
      </c>
      <c r="E151">
        <v>43</v>
      </c>
      <c r="F151">
        <v>1.54</v>
      </c>
      <c r="G151">
        <v>66.22</v>
      </c>
    </row>
    <row r="152" spans="1:7">
      <c r="A152" s="17">
        <v>45946</v>
      </c>
      <c r="B152" s="1" t="s">
        <v>22</v>
      </c>
      <c r="C152" s="1" t="s">
        <v>46</v>
      </c>
      <c r="D152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8F9C2-C30E-4351-8DE4-CC55851B9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 Udatha</dc:creator>
  <cp:keywords/>
  <dc:description/>
  <cp:lastModifiedBy>Mukesh Udatha</cp:lastModifiedBy>
  <cp:revision/>
  <dcterms:created xsi:type="dcterms:W3CDTF">2015-06-05T18:17:20Z</dcterms:created>
  <dcterms:modified xsi:type="dcterms:W3CDTF">2025-10-13T08:36:22Z</dcterms:modified>
  <cp:category/>
  <cp:contentStatus/>
</cp:coreProperties>
</file>