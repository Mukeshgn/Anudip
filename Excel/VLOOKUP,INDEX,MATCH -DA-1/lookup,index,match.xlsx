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kes\OneDrive\Desktop\learning\Excel\VLOOKUP,INDEX,MATCH -DA-1\"/>
    </mc:Choice>
  </mc:AlternateContent>
  <xr:revisionPtr revIDLastSave="0" documentId="13_ncr:1_{CF582FAF-73FA-4F7C-9C90-EA2513C08F6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heet2" sheetId="2" r:id="rId1"/>
    <sheet name="vlookup" sheetId="1" r:id="rId2"/>
    <sheet name="hlookup" sheetId="3" r:id="rId3"/>
    <sheet name="lookup" sheetId="4" r:id="rId4"/>
    <sheet name="Xlookup" sheetId="6" r:id="rId5"/>
    <sheet name="index-match" sheetId="5" r:id="rId6"/>
  </sheets>
  <definedNames>
    <definedName name="Oursearch">vlookup!$A$1:$E$51</definedName>
    <definedName name="Oursearch2">vlookup!$B$1:$E$51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5" i="6" l="1"/>
  <c r="H19" i="6"/>
  <c r="H18" i="6"/>
  <c r="H13" i="6"/>
  <c r="H6" i="6"/>
  <c r="I6" i="5"/>
  <c r="I15" i="4"/>
  <c r="I8" i="4"/>
  <c r="C19" i="3"/>
  <c r="C11" i="3"/>
  <c r="I14" i="1"/>
  <c r="I7" i="1"/>
</calcChain>
</file>

<file path=xl/sharedStrings.xml><?xml version="1.0" encoding="utf-8"?>
<sst xmlns="http://schemas.openxmlformats.org/spreadsheetml/2006/main" count="1097" uniqueCount="205">
  <si>
    <t>Emp ID</t>
  </si>
  <si>
    <t>Emp Name</t>
  </si>
  <si>
    <t>Email Address</t>
  </si>
  <si>
    <t>Job Title</t>
  </si>
  <si>
    <t>Salary</t>
  </si>
  <si>
    <t>Diana Hepburn</t>
  </si>
  <si>
    <t>Diana_Hepburn5073@bretoux.com</t>
  </si>
  <si>
    <t>Food Technologist</t>
  </si>
  <si>
    <t>$7,544.00</t>
  </si>
  <si>
    <t>Mason Freeburn</t>
  </si>
  <si>
    <t>Mason_Freeburn4608@infotech44.tech</t>
  </si>
  <si>
    <t>UI/UX Designer</t>
  </si>
  <si>
    <t>$2,848.00</t>
  </si>
  <si>
    <t>Rocco Andrews</t>
  </si>
  <si>
    <t>Rocco_Andrews9051@bulaffy.com</t>
  </si>
  <si>
    <t>Designer</t>
  </si>
  <si>
    <t>$5,973.00</t>
  </si>
  <si>
    <t>Barney Randall</t>
  </si>
  <si>
    <t>Barney_Randall1689@infotech44.tech</t>
  </si>
  <si>
    <t>Banker</t>
  </si>
  <si>
    <t>$2,490.00</t>
  </si>
  <si>
    <t>Eduardo Dale</t>
  </si>
  <si>
    <t>Eduardo_Dale287@bretoux.com</t>
  </si>
  <si>
    <t>Book Keeper</t>
  </si>
  <si>
    <t>$10,349.00</t>
  </si>
  <si>
    <t>Melanie Stone</t>
  </si>
  <si>
    <t>Melanie_Stone3258@acrit.org</t>
  </si>
  <si>
    <t>Retail Trainee</t>
  </si>
  <si>
    <t>$6,966.00</t>
  </si>
  <si>
    <t>Mason Lindop</t>
  </si>
  <si>
    <t>Mason_Lindop4213@mafthy.com</t>
  </si>
  <si>
    <t>$9,821.00</t>
  </si>
  <si>
    <t>Mark Lindop</t>
  </si>
  <si>
    <t>Mark_Lindop8991@fuliss.net</t>
  </si>
  <si>
    <t>Business Broker</t>
  </si>
  <si>
    <t>$4,446.00</t>
  </si>
  <si>
    <t>Owen Andrews</t>
  </si>
  <si>
    <t>Owen_Andrews9942@gompie.com</t>
  </si>
  <si>
    <t>Software Tester</t>
  </si>
  <si>
    <t>$10,095.00</t>
  </si>
  <si>
    <t>Owen Freeburn</t>
  </si>
  <si>
    <t>Owen_Freeburn3408@bulaffy.com</t>
  </si>
  <si>
    <t>Webmaster</t>
  </si>
  <si>
    <t>$6,524.00</t>
  </si>
  <si>
    <t>Rocco_Andrews5523@infotech44.tech</t>
  </si>
  <si>
    <t>$3,173.00</t>
  </si>
  <si>
    <t>Peter Connell</t>
  </si>
  <si>
    <t>Peter_Connell4775@brety.org</t>
  </si>
  <si>
    <t>IT Support Staff</t>
  </si>
  <si>
    <t>$6,362.00</t>
  </si>
  <si>
    <t>Penelope Rycroft</t>
  </si>
  <si>
    <t>Penelope_Rycroft8531@extex.org</t>
  </si>
  <si>
    <t>$10,013.00</t>
  </si>
  <si>
    <t>Diana Kidd</t>
  </si>
  <si>
    <t>Diana_Kidd1988@brety.org</t>
  </si>
  <si>
    <t>$6,538.00</t>
  </si>
  <si>
    <t>Eduardo Randall</t>
  </si>
  <si>
    <t>Eduardo_Randall1040@irrepsy.com</t>
  </si>
  <si>
    <t>Project Manager</t>
  </si>
  <si>
    <t>$2,829.00</t>
  </si>
  <si>
    <t>Hank Randall</t>
  </si>
  <si>
    <t>Hank_Randall2987@acrit.org</t>
  </si>
  <si>
    <t>Baker</t>
  </si>
  <si>
    <t>$11,386.00</t>
  </si>
  <si>
    <t>Noah Power</t>
  </si>
  <si>
    <t>Noah_Power7148@fuliss.net</t>
  </si>
  <si>
    <t>$7,034.00</t>
  </si>
  <si>
    <t>Diana Stone</t>
  </si>
  <si>
    <t>Diana_Stone4010@mafthy.com</t>
  </si>
  <si>
    <t>Steward</t>
  </si>
  <si>
    <t>$4,887.00</t>
  </si>
  <si>
    <t>Mark Anderson</t>
  </si>
  <si>
    <t>Mark_Anderson645@cispeto.com</t>
  </si>
  <si>
    <t>Treasurer</t>
  </si>
  <si>
    <t>$5,136.00</t>
  </si>
  <si>
    <t>Joyce Andrews</t>
  </si>
  <si>
    <t>Joyce_Andrews9093@bretoux.com</t>
  </si>
  <si>
    <t>$9,678.00</t>
  </si>
  <si>
    <t>Barney Denton</t>
  </si>
  <si>
    <t>Barney_Denton1088@guentu.biz</t>
  </si>
  <si>
    <t>$10,071.00</t>
  </si>
  <si>
    <t>Percy Cartwright</t>
  </si>
  <si>
    <t>Percy_Cartwright8161@sheye.org</t>
  </si>
  <si>
    <t>$9,586.00</t>
  </si>
  <si>
    <t>Percy Freeburn</t>
  </si>
  <si>
    <t>Percy_Freeburn874@extex.org</t>
  </si>
  <si>
    <t>$4,092.00</t>
  </si>
  <si>
    <t>Peter Saunders</t>
  </si>
  <si>
    <t>Peter_Saunders2331@gompie.com</t>
  </si>
  <si>
    <t>$11,382.00</t>
  </si>
  <si>
    <t>Owen Anderson</t>
  </si>
  <si>
    <t>Owen_Anderson5568@acrit.org</t>
  </si>
  <si>
    <t>$7,301.00</t>
  </si>
  <si>
    <t>Owen_Freeburn305@extex.org</t>
  </si>
  <si>
    <t>$11,703.00</t>
  </si>
  <si>
    <t>Percy Saunders</t>
  </si>
  <si>
    <t>Percy_Saunders9497@guentu.biz</t>
  </si>
  <si>
    <t>$9,671.00</t>
  </si>
  <si>
    <t>Penelope Cartwright</t>
  </si>
  <si>
    <t>Penelope_Cartwright7156@bulaffy.com</t>
  </si>
  <si>
    <t>Fabricator</t>
  </si>
  <si>
    <t>$8,649.00</t>
  </si>
  <si>
    <t>Joyce Burge</t>
  </si>
  <si>
    <t>Joyce_Burge9990@infotech44.tech</t>
  </si>
  <si>
    <t>$2,821.00</t>
  </si>
  <si>
    <t>Owen_Freeburn5209@gompie.com</t>
  </si>
  <si>
    <t>Network Engineer</t>
  </si>
  <si>
    <t>$8,857.00</t>
  </si>
  <si>
    <t>Harvey Saunders</t>
  </si>
  <si>
    <t>Harvey_Saunders8132@cispeto.com</t>
  </si>
  <si>
    <t>$3,945.00</t>
  </si>
  <si>
    <t>Harvey Randall</t>
  </si>
  <si>
    <t>Harvey_Randall2836@infotech44.tech</t>
  </si>
  <si>
    <t>$10,839.00</t>
  </si>
  <si>
    <t>Hank Saunders</t>
  </si>
  <si>
    <t>Hank_Saunders5091@cispeto.com</t>
  </si>
  <si>
    <t>Stock Broker</t>
  </si>
  <si>
    <t>$6,947.00</t>
  </si>
  <si>
    <t>Mason Andrews</t>
  </si>
  <si>
    <t>Mason_Andrews8891@fuliss.net</t>
  </si>
  <si>
    <t>$7,247.00</t>
  </si>
  <si>
    <t>Harvey Cavanagh</t>
  </si>
  <si>
    <t>Harvey_Cavanagh3090@bretoux.com</t>
  </si>
  <si>
    <t>$3,421.00</t>
  </si>
  <si>
    <t>Barney Power</t>
  </si>
  <si>
    <t>Barney_Power8220@mafthy.com</t>
  </si>
  <si>
    <t>$6,497.00</t>
  </si>
  <si>
    <t>Rocco Connell</t>
  </si>
  <si>
    <t>Rocco_Connell2258@gompie.com</t>
  </si>
  <si>
    <t>Chef Manager</t>
  </si>
  <si>
    <t>$5,540.00</t>
  </si>
  <si>
    <t>Hank Lindop</t>
  </si>
  <si>
    <t>Hank_Lindop9829@sheye.org</t>
  </si>
  <si>
    <t>$9,342.00</t>
  </si>
  <si>
    <t>Joyce Rycroft</t>
  </si>
  <si>
    <t>Joyce_Rycroft9854@infotech44.tech</t>
  </si>
  <si>
    <t>$10,134.00</t>
  </si>
  <si>
    <t>Fred Rycroft</t>
  </si>
  <si>
    <t>Fred_Rycroft1393@sheye.org</t>
  </si>
  <si>
    <t>$6,457.00</t>
  </si>
  <si>
    <t>Barney Lindop</t>
  </si>
  <si>
    <t>Barney_Lindop4619@acrit.org</t>
  </si>
  <si>
    <t>$4,828.00</t>
  </si>
  <si>
    <t>Noah Freeburn</t>
  </si>
  <si>
    <t>Noah_Freeburn2747@irrepsy.com</t>
  </si>
  <si>
    <t>$6,954.00</t>
  </si>
  <si>
    <t>Fred Burge</t>
  </si>
  <si>
    <t>Fred_Burge5299@mafthy.com</t>
  </si>
  <si>
    <t>$7,454.00</t>
  </si>
  <si>
    <t>Mark Saunders</t>
  </si>
  <si>
    <t>Mark_Saunders4380@cispeto.com</t>
  </si>
  <si>
    <t>$5,194.00</t>
  </si>
  <si>
    <t>Peter Daniells</t>
  </si>
  <si>
    <t>Peter_Daniells9232@guentu.biz</t>
  </si>
  <si>
    <t>$4,201.00</t>
  </si>
  <si>
    <t>Diana Freeburn</t>
  </si>
  <si>
    <t>Diana_Freeburn1984@brety.org</t>
  </si>
  <si>
    <t>$8,898.00</t>
  </si>
  <si>
    <t>Melanie Burge</t>
  </si>
  <si>
    <t>Melanie_Burge7680@acrit.org</t>
  </si>
  <si>
    <t>HR Coordinator</t>
  </si>
  <si>
    <t>$2,842.00</t>
  </si>
  <si>
    <t>Wade Lindop</t>
  </si>
  <si>
    <t>Wade_Lindop163@guentu.biz</t>
  </si>
  <si>
    <t>$7,880.00</t>
  </si>
  <si>
    <t>Melanie Hepburn</t>
  </si>
  <si>
    <t>Melanie_Hepburn5281@brety.org</t>
  </si>
  <si>
    <t>$7,400.00</t>
  </si>
  <si>
    <t>Wade Kidd</t>
  </si>
  <si>
    <t>Wade_Kidd7947@fuliss.net</t>
  </si>
  <si>
    <t>$10,465.00</t>
  </si>
  <si>
    <t>Q) What the Job Title of Javier Power?</t>
  </si>
  <si>
    <t>EMP NAME</t>
  </si>
  <si>
    <t>Q) What is the Emp ID of the person with email Noah_Power7148@fuliss.net</t>
  </si>
  <si>
    <t>EMP ID</t>
  </si>
  <si>
    <t>Q) What is the job title and salary of Eduardo Dale?</t>
  </si>
  <si>
    <t>Q) Find Name not found for Emp ID 200</t>
  </si>
  <si>
    <t>Q) Find the employee name with employee id 107</t>
  </si>
  <si>
    <t>Q) Find the job title of Fred Rycroft</t>
  </si>
  <si>
    <t>Field</t>
  </si>
  <si>
    <t>Rocco And</t>
  </si>
  <si>
    <t>Hank Saunde</t>
  </si>
  <si>
    <t>Eden Connell</t>
  </si>
  <si>
    <t>Owen Lindo</t>
  </si>
  <si>
    <t>Barney Cavar</t>
  </si>
  <si>
    <t>Mason Randall</t>
  </si>
  <si>
    <t>Rocco_And@sheye.org</t>
  </si>
  <si>
    <t>Hank_Saund@sheye.org</t>
  </si>
  <si>
    <t>Eden_Connel@sheye.org</t>
  </si>
  <si>
    <t>Owen_Lindc@sheye.org</t>
  </si>
  <si>
    <t>Barney_Cava@sheye.org</t>
  </si>
  <si>
    <t>Mason_Randall7355@sheye.org</t>
  </si>
  <si>
    <t>Chef</t>
  </si>
  <si>
    <t>Business Manager</t>
  </si>
  <si>
    <t>Q) Find the salary of Eden Connel using Hlookup</t>
  </si>
  <si>
    <t>Q) Find the job title for Emp ID 105</t>
  </si>
  <si>
    <t>Q) Find the salary of Hank Randall</t>
  </si>
  <si>
    <t>Eduardo_Dale@bretoux.com</t>
  </si>
  <si>
    <t>Q) Find the Emp ID of $6,362.00</t>
  </si>
  <si>
    <t>Q) Find the salary of Peter Daniells</t>
  </si>
  <si>
    <t>salary</t>
  </si>
  <si>
    <t>Q) Find the Emp ID with salary $3,173.00</t>
  </si>
  <si>
    <t>Q) Check for employee Fred Rycroft. If the value is not present, display "Not Found".</t>
  </si>
  <si>
    <t>Fred Rycrof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</si>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</sst>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42424"/>
      <name val="Aptos Narrow"/>
      <charset val="1"/>
    </font>
    <font>
      <sz val="11"/>
      <color rgb="FF000000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top"/>
    </xf>
    <xf numFmtId="0" fontId="4" fillId="3" borderId="0" xfId="0" applyFont="1" applyFill="1"/>
    <xf numFmtId="0" fontId="4" fillId="2" borderId="0" xfId="0" applyFont="1" applyFill="1"/>
    <xf numFmtId="0" fontId="0" fillId="4" borderId="0" xfId="0" applyFill="1"/>
    <xf numFmtId="0" fontId="4" fillId="3" borderId="3" xfId="0" applyFont="1" applyFill="1" applyBorder="1"/>
    <xf numFmtId="0" fontId="4" fillId="3" borderId="4" xfId="0" applyFont="1" applyFill="1" applyBorder="1"/>
    <xf numFmtId="0" fontId="3" fillId="3" borderId="2" xfId="0" applyFont="1" applyFill="1" applyBorder="1"/>
    <xf numFmtId="0" fontId="4" fillId="3" borderId="0" xfId="0" applyFont="1" applyFill="1" applyAlignment="1">
      <alignment wrapText="1"/>
    </xf>
    <xf numFmtId="0" fontId="1" fillId="0" borderId="0" xfId="0" applyFont="1"/>
    <xf numFmtId="0" fontId="2" fillId="0" borderId="0" xfId="1"/>
    <xf numFmtId="164" fontId="0" fillId="0" borderId="0" xfId="0" applyNumberFormat="1"/>
    <xf numFmtId="0" fontId="1" fillId="5" borderId="4" xfId="0" applyFont="1" applyFill="1" applyBorder="1"/>
    <xf numFmtId="0" fontId="3" fillId="5" borderId="2" xfId="0" applyFont="1" applyFill="1" applyBorder="1"/>
    <xf numFmtId="0" fontId="1" fillId="6" borderId="0" xfId="0" applyFont="1" applyFill="1"/>
    <xf numFmtId="0" fontId="5" fillId="0" borderId="0" xfId="0" applyFont="1" applyAlignment="1">
      <alignment wrapText="1"/>
    </xf>
    <xf numFmtId="0" fontId="2" fillId="0" borderId="0" xfId="1" applyFill="1"/>
    <xf numFmtId="164" fontId="5" fillId="0" borderId="0" xfId="0" applyNumberFormat="1" applyFo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Barney_Randall1689@infotech44.tech" TargetMode="External"/><Relationship Id="rId2" Type="http://schemas.openxmlformats.org/officeDocument/2006/relationships/hyperlink" Target="mailto:Mason_Freeburn4608@infotech44.tech" TargetMode="External"/><Relationship Id="rId1" Type="http://schemas.openxmlformats.org/officeDocument/2006/relationships/hyperlink" Target="mailto:Diana_Hepburn5073@bretoux.com" TargetMode="External"/><Relationship Id="rId5" Type="http://schemas.openxmlformats.org/officeDocument/2006/relationships/hyperlink" Target="mailto:Owen_Andrews9942@gompie.com" TargetMode="External"/><Relationship Id="rId4" Type="http://schemas.openxmlformats.org/officeDocument/2006/relationships/hyperlink" Target="mailto:Eduardo_Dale@bretoux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Noah_Power7148@fuliss.net" TargetMode="External"/><Relationship Id="rId1" Type="http://schemas.openxmlformats.org/officeDocument/2006/relationships/hyperlink" Target="mailto:Noah_Power7148@fuliss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A7C9A-D556-46E7-8631-85E87ADFA75D}">
  <dimension ref="A1:E51"/>
  <sheetViews>
    <sheetView workbookViewId="0">
      <selection activeCell="B6" sqref="A1:E5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101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102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">
      <c r="A4">
        <v>103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3">
      <c r="A5">
        <v>104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3">
      <c r="A6">
        <v>105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3">
      <c r="A7">
        <v>106</v>
      </c>
      <c r="B7" t="s">
        <v>25</v>
      </c>
      <c r="C7" t="s">
        <v>26</v>
      </c>
      <c r="D7" t="s">
        <v>27</v>
      </c>
      <c r="E7" t="s">
        <v>28</v>
      </c>
    </row>
    <row r="8" spans="1:5" x14ac:dyDescent="0.3">
      <c r="A8">
        <v>107</v>
      </c>
      <c r="B8" t="s">
        <v>29</v>
      </c>
      <c r="C8" t="s">
        <v>30</v>
      </c>
      <c r="D8" t="s">
        <v>23</v>
      </c>
      <c r="E8" t="s">
        <v>31</v>
      </c>
    </row>
    <row r="9" spans="1:5" x14ac:dyDescent="0.3">
      <c r="A9">
        <v>108</v>
      </c>
      <c r="B9" t="s">
        <v>32</v>
      </c>
      <c r="C9" t="s">
        <v>33</v>
      </c>
      <c r="D9" t="s">
        <v>34</v>
      </c>
      <c r="E9" t="s">
        <v>35</v>
      </c>
    </row>
    <row r="10" spans="1:5" x14ac:dyDescent="0.3">
      <c r="A10">
        <v>109</v>
      </c>
      <c r="B10" t="s">
        <v>36</v>
      </c>
      <c r="C10" t="s">
        <v>37</v>
      </c>
      <c r="D10" t="s">
        <v>38</v>
      </c>
      <c r="E10" t="s">
        <v>39</v>
      </c>
    </row>
    <row r="11" spans="1:5" x14ac:dyDescent="0.3">
      <c r="A11">
        <v>110</v>
      </c>
      <c r="B11" t="s">
        <v>40</v>
      </c>
      <c r="C11" t="s">
        <v>41</v>
      </c>
      <c r="D11" t="s">
        <v>42</v>
      </c>
      <c r="E11" t="s">
        <v>43</v>
      </c>
    </row>
    <row r="12" spans="1:5" x14ac:dyDescent="0.3">
      <c r="A12">
        <v>111</v>
      </c>
      <c r="B12" t="s">
        <v>13</v>
      </c>
      <c r="C12" t="s">
        <v>44</v>
      </c>
      <c r="D12" t="s">
        <v>42</v>
      </c>
      <c r="E12" t="s">
        <v>45</v>
      </c>
    </row>
    <row r="13" spans="1:5" x14ac:dyDescent="0.3">
      <c r="A13">
        <v>112</v>
      </c>
      <c r="B13" t="s">
        <v>46</v>
      </c>
      <c r="C13" t="s">
        <v>47</v>
      </c>
      <c r="D13" t="s">
        <v>48</v>
      </c>
      <c r="E13" t="s">
        <v>49</v>
      </c>
    </row>
    <row r="14" spans="1:5" x14ac:dyDescent="0.3">
      <c r="A14">
        <v>113</v>
      </c>
      <c r="B14" t="s">
        <v>50</v>
      </c>
      <c r="C14" t="s">
        <v>51</v>
      </c>
      <c r="D14" t="s">
        <v>42</v>
      </c>
      <c r="E14" t="s">
        <v>52</v>
      </c>
    </row>
    <row r="15" spans="1:5" x14ac:dyDescent="0.3">
      <c r="A15">
        <v>114</v>
      </c>
      <c r="B15" t="s">
        <v>53</v>
      </c>
      <c r="C15" t="s">
        <v>54</v>
      </c>
      <c r="D15" t="s">
        <v>48</v>
      </c>
      <c r="E15" t="s">
        <v>55</v>
      </c>
    </row>
    <row r="16" spans="1:5" x14ac:dyDescent="0.3">
      <c r="A16">
        <v>115</v>
      </c>
      <c r="B16" t="s">
        <v>56</v>
      </c>
      <c r="C16" t="s">
        <v>57</v>
      </c>
      <c r="D16" t="s">
        <v>58</v>
      </c>
      <c r="E16" t="s">
        <v>59</v>
      </c>
    </row>
    <row r="17" spans="1:5" x14ac:dyDescent="0.3">
      <c r="A17">
        <v>116</v>
      </c>
      <c r="B17" t="s">
        <v>60</v>
      </c>
      <c r="C17" t="s">
        <v>61</v>
      </c>
      <c r="D17" t="s">
        <v>62</v>
      </c>
      <c r="E17" t="s">
        <v>63</v>
      </c>
    </row>
    <row r="18" spans="1:5" x14ac:dyDescent="0.3">
      <c r="A18">
        <v>117</v>
      </c>
      <c r="B18" t="s">
        <v>64</v>
      </c>
      <c r="C18" t="s">
        <v>65</v>
      </c>
      <c r="D18" t="s">
        <v>11</v>
      </c>
      <c r="E18" t="s">
        <v>66</v>
      </c>
    </row>
    <row r="19" spans="1:5" x14ac:dyDescent="0.3">
      <c r="A19">
        <v>118</v>
      </c>
      <c r="B19" t="s">
        <v>67</v>
      </c>
      <c r="C19" t="s">
        <v>68</v>
      </c>
      <c r="D19" t="s">
        <v>69</v>
      </c>
      <c r="E19" t="s">
        <v>70</v>
      </c>
    </row>
    <row r="20" spans="1:5" x14ac:dyDescent="0.3">
      <c r="A20">
        <v>119</v>
      </c>
      <c r="B20" t="s">
        <v>71</v>
      </c>
      <c r="C20" t="s">
        <v>72</v>
      </c>
      <c r="D20" t="s">
        <v>73</v>
      </c>
      <c r="E20" t="s">
        <v>74</v>
      </c>
    </row>
    <row r="21" spans="1:5" x14ac:dyDescent="0.3">
      <c r="A21">
        <v>120</v>
      </c>
      <c r="B21" t="s">
        <v>75</v>
      </c>
      <c r="C21" t="s">
        <v>76</v>
      </c>
      <c r="D21" t="s">
        <v>11</v>
      </c>
      <c r="E21" t="s">
        <v>77</v>
      </c>
    </row>
    <row r="22" spans="1:5" x14ac:dyDescent="0.3">
      <c r="A22">
        <v>121</v>
      </c>
      <c r="B22" t="s">
        <v>78</v>
      </c>
      <c r="C22" t="s">
        <v>79</v>
      </c>
      <c r="D22" t="s">
        <v>69</v>
      </c>
      <c r="E22" t="s">
        <v>80</v>
      </c>
    </row>
    <row r="23" spans="1:5" x14ac:dyDescent="0.3">
      <c r="A23">
        <v>122</v>
      </c>
      <c r="B23" t="s">
        <v>81</v>
      </c>
      <c r="C23" t="s">
        <v>82</v>
      </c>
      <c r="D23" t="s">
        <v>48</v>
      </c>
      <c r="E23" t="s">
        <v>83</v>
      </c>
    </row>
    <row r="24" spans="1:5" x14ac:dyDescent="0.3">
      <c r="A24">
        <v>123</v>
      </c>
      <c r="B24" t="s">
        <v>84</v>
      </c>
      <c r="C24" t="s">
        <v>85</v>
      </c>
      <c r="D24" t="s">
        <v>62</v>
      </c>
      <c r="E24" t="s">
        <v>86</v>
      </c>
    </row>
    <row r="25" spans="1:5" x14ac:dyDescent="0.3">
      <c r="A25">
        <v>124</v>
      </c>
      <c r="B25" t="s">
        <v>87</v>
      </c>
      <c r="C25" t="s">
        <v>88</v>
      </c>
      <c r="D25" t="s">
        <v>58</v>
      </c>
      <c r="E25" t="s">
        <v>89</v>
      </c>
    </row>
    <row r="26" spans="1:5" x14ac:dyDescent="0.3">
      <c r="A26">
        <v>125</v>
      </c>
      <c r="B26" t="s">
        <v>90</v>
      </c>
      <c r="C26" t="s">
        <v>91</v>
      </c>
      <c r="D26" t="s">
        <v>7</v>
      </c>
      <c r="E26" t="s">
        <v>92</v>
      </c>
    </row>
    <row r="27" spans="1:5" x14ac:dyDescent="0.3">
      <c r="A27">
        <v>126</v>
      </c>
      <c r="B27" t="s">
        <v>40</v>
      </c>
      <c r="C27" t="s">
        <v>93</v>
      </c>
      <c r="D27" t="s">
        <v>19</v>
      </c>
      <c r="E27" t="s">
        <v>94</v>
      </c>
    </row>
    <row r="28" spans="1:5" x14ac:dyDescent="0.3">
      <c r="A28">
        <v>127</v>
      </c>
      <c r="B28" t="s">
        <v>95</v>
      </c>
      <c r="C28" t="s">
        <v>96</v>
      </c>
      <c r="D28" t="s">
        <v>42</v>
      </c>
      <c r="E28" t="s">
        <v>97</v>
      </c>
    </row>
    <row r="29" spans="1:5" x14ac:dyDescent="0.3">
      <c r="A29">
        <v>128</v>
      </c>
      <c r="B29" t="s">
        <v>98</v>
      </c>
      <c r="C29" t="s">
        <v>99</v>
      </c>
      <c r="D29" t="s">
        <v>100</v>
      </c>
      <c r="E29" t="s">
        <v>101</v>
      </c>
    </row>
    <row r="30" spans="1:5" x14ac:dyDescent="0.3">
      <c r="A30">
        <v>129</v>
      </c>
      <c r="B30" t="s">
        <v>102</v>
      </c>
      <c r="C30" t="s">
        <v>103</v>
      </c>
      <c r="D30" t="s">
        <v>73</v>
      </c>
      <c r="E30" t="s">
        <v>104</v>
      </c>
    </row>
    <row r="31" spans="1:5" x14ac:dyDescent="0.3">
      <c r="A31">
        <v>130</v>
      </c>
      <c r="B31" t="s">
        <v>40</v>
      </c>
      <c r="C31" t="s">
        <v>105</v>
      </c>
      <c r="D31" t="s">
        <v>106</v>
      </c>
      <c r="E31" t="s">
        <v>107</v>
      </c>
    </row>
    <row r="32" spans="1:5" x14ac:dyDescent="0.3">
      <c r="A32">
        <v>131</v>
      </c>
      <c r="B32" t="s">
        <v>108</v>
      </c>
      <c r="C32" t="s">
        <v>109</v>
      </c>
      <c r="D32" t="s">
        <v>19</v>
      </c>
      <c r="E32" t="s">
        <v>110</v>
      </c>
    </row>
    <row r="33" spans="1:5" x14ac:dyDescent="0.3">
      <c r="A33">
        <v>132</v>
      </c>
      <c r="B33" t="s">
        <v>111</v>
      </c>
      <c r="C33" t="s">
        <v>112</v>
      </c>
      <c r="D33" t="s">
        <v>73</v>
      </c>
      <c r="E33" t="s">
        <v>113</v>
      </c>
    </row>
    <row r="34" spans="1:5" x14ac:dyDescent="0.3">
      <c r="A34">
        <v>133</v>
      </c>
      <c r="B34" t="s">
        <v>114</v>
      </c>
      <c r="C34" t="s">
        <v>115</v>
      </c>
      <c r="D34" t="s">
        <v>116</v>
      </c>
      <c r="E34" t="s">
        <v>117</v>
      </c>
    </row>
    <row r="35" spans="1:5" x14ac:dyDescent="0.3">
      <c r="A35">
        <v>134</v>
      </c>
      <c r="B35" t="s">
        <v>118</v>
      </c>
      <c r="C35" t="s">
        <v>119</v>
      </c>
      <c r="D35" t="s">
        <v>116</v>
      </c>
      <c r="E35" t="s">
        <v>120</v>
      </c>
    </row>
    <row r="36" spans="1:5" x14ac:dyDescent="0.3">
      <c r="A36">
        <v>135</v>
      </c>
      <c r="B36" t="s">
        <v>121</v>
      </c>
      <c r="C36" t="s">
        <v>122</v>
      </c>
      <c r="D36" t="s">
        <v>116</v>
      </c>
      <c r="E36" t="s">
        <v>123</v>
      </c>
    </row>
    <row r="37" spans="1:5" x14ac:dyDescent="0.3">
      <c r="A37">
        <v>136</v>
      </c>
      <c r="B37" t="s">
        <v>124</v>
      </c>
      <c r="C37" t="s">
        <v>125</v>
      </c>
      <c r="D37" t="s">
        <v>15</v>
      </c>
      <c r="E37" t="s">
        <v>126</v>
      </c>
    </row>
    <row r="38" spans="1:5" x14ac:dyDescent="0.3">
      <c r="A38">
        <v>137</v>
      </c>
      <c r="B38" t="s">
        <v>127</v>
      </c>
      <c r="C38" t="s">
        <v>128</v>
      </c>
      <c r="D38" t="s">
        <v>129</v>
      </c>
      <c r="E38" t="s">
        <v>130</v>
      </c>
    </row>
    <row r="39" spans="1:5" x14ac:dyDescent="0.3">
      <c r="A39">
        <v>138</v>
      </c>
      <c r="B39" t="s">
        <v>131</v>
      </c>
      <c r="C39" t="s">
        <v>132</v>
      </c>
      <c r="D39" t="s">
        <v>34</v>
      </c>
      <c r="E39" t="s">
        <v>133</v>
      </c>
    </row>
    <row r="40" spans="1:5" x14ac:dyDescent="0.3">
      <c r="A40">
        <v>139</v>
      </c>
      <c r="B40" t="s">
        <v>134</v>
      </c>
      <c r="C40" t="s">
        <v>135</v>
      </c>
      <c r="D40" t="s">
        <v>23</v>
      </c>
      <c r="E40" t="s">
        <v>136</v>
      </c>
    </row>
    <row r="41" spans="1:5" x14ac:dyDescent="0.3">
      <c r="A41">
        <v>140</v>
      </c>
      <c r="B41" t="s">
        <v>137</v>
      </c>
      <c r="C41" t="s">
        <v>138</v>
      </c>
      <c r="D41" t="s">
        <v>58</v>
      </c>
      <c r="E41" t="s">
        <v>139</v>
      </c>
    </row>
    <row r="42" spans="1:5" x14ac:dyDescent="0.3">
      <c r="A42">
        <v>141</v>
      </c>
      <c r="B42" t="s">
        <v>140</v>
      </c>
      <c r="C42" t="s">
        <v>141</v>
      </c>
      <c r="D42" t="s">
        <v>129</v>
      </c>
      <c r="E42" t="s">
        <v>142</v>
      </c>
    </row>
    <row r="43" spans="1:5" x14ac:dyDescent="0.3">
      <c r="A43">
        <v>142</v>
      </c>
      <c r="B43" t="s">
        <v>143</v>
      </c>
      <c r="C43" t="s">
        <v>144</v>
      </c>
      <c r="D43" t="s">
        <v>27</v>
      </c>
      <c r="E43" t="s">
        <v>145</v>
      </c>
    </row>
    <row r="44" spans="1:5" x14ac:dyDescent="0.3">
      <c r="A44">
        <v>143</v>
      </c>
      <c r="B44" t="s">
        <v>146</v>
      </c>
      <c r="C44" t="s">
        <v>147</v>
      </c>
      <c r="D44" t="s">
        <v>11</v>
      </c>
      <c r="E44" t="s">
        <v>148</v>
      </c>
    </row>
    <row r="45" spans="1:5" x14ac:dyDescent="0.3">
      <c r="A45">
        <v>144</v>
      </c>
      <c r="B45" t="s">
        <v>149</v>
      </c>
      <c r="C45" t="s">
        <v>150</v>
      </c>
      <c r="D45" t="s">
        <v>42</v>
      </c>
      <c r="E45" t="s">
        <v>151</v>
      </c>
    </row>
    <row r="46" spans="1:5" x14ac:dyDescent="0.3">
      <c r="A46">
        <v>145</v>
      </c>
      <c r="B46" t="s">
        <v>152</v>
      </c>
      <c r="C46" t="s">
        <v>153</v>
      </c>
      <c r="D46" t="s">
        <v>48</v>
      </c>
      <c r="E46" t="s">
        <v>154</v>
      </c>
    </row>
    <row r="47" spans="1:5" x14ac:dyDescent="0.3">
      <c r="A47">
        <v>146</v>
      </c>
      <c r="B47" t="s">
        <v>155</v>
      </c>
      <c r="C47" t="s">
        <v>156</v>
      </c>
      <c r="D47" t="s">
        <v>73</v>
      </c>
      <c r="E47" t="s">
        <v>157</v>
      </c>
    </row>
    <row r="48" spans="1:5" x14ac:dyDescent="0.3">
      <c r="A48">
        <v>147</v>
      </c>
      <c r="B48" t="s">
        <v>158</v>
      </c>
      <c r="C48" t="s">
        <v>159</v>
      </c>
      <c r="D48" t="s">
        <v>160</v>
      </c>
      <c r="E48" t="s">
        <v>161</v>
      </c>
    </row>
    <row r="49" spans="1:5" x14ac:dyDescent="0.3">
      <c r="A49">
        <v>148</v>
      </c>
      <c r="B49" t="s">
        <v>162</v>
      </c>
      <c r="C49" t="s">
        <v>163</v>
      </c>
      <c r="D49" t="s">
        <v>23</v>
      </c>
      <c r="E49" t="s">
        <v>164</v>
      </c>
    </row>
    <row r="50" spans="1:5" x14ac:dyDescent="0.3">
      <c r="A50">
        <v>149</v>
      </c>
      <c r="B50" t="s">
        <v>165</v>
      </c>
      <c r="C50" t="s">
        <v>166</v>
      </c>
      <c r="D50" t="s">
        <v>129</v>
      </c>
      <c r="E50" t="s">
        <v>167</v>
      </c>
    </row>
    <row r="51" spans="1:5" x14ac:dyDescent="0.3">
      <c r="A51">
        <v>150</v>
      </c>
      <c r="B51" t="s">
        <v>168</v>
      </c>
      <c r="C51" t="s">
        <v>169</v>
      </c>
      <c r="D51" t="s">
        <v>58</v>
      </c>
      <c r="E51" t="s">
        <v>170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opLeftCell="G1" workbookViewId="0">
      <selection activeCell="H4" sqref="H4:I14"/>
    </sheetView>
  </sheetViews>
  <sheetFormatPr defaultRowHeight="14.4" x14ac:dyDescent="0.3"/>
  <cols>
    <col min="2" max="2" width="12.5546875" bestFit="1" customWidth="1"/>
    <col min="3" max="3" width="20.109375" customWidth="1"/>
    <col min="8" max="8" width="15.33203125" customWidth="1"/>
    <col min="9" max="9" width="24.109375" bestFit="1" customWidth="1"/>
    <col min="10" max="10" width="23.66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2" x14ac:dyDescent="0.3">
      <c r="A2">
        <v>101</v>
      </c>
      <c r="B2" t="s">
        <v>5</v>
      </c>
      <c r="C2" t="s">
        <v>6</v>
      </c>
      <c r="D2" t="s">
        <v>7</v>
      </c>
      <c r="E2" t="s">
        <v>8</v>
      </c>
    </row>
    <row r="3" spans="1:12" x14ac:dyDescent="0.3">
      <c r="A3">
        <v>102</v>
      </c>
      <c r="B3" t="s">
        <v>9</v>
      </c>
      <c r="C3" t="s">
        <v>10</v>
      </c>
      <c r="D3" t="s">
        <v>11</v>
      </c>
      <c r="E3" t="s">
        <v>12</v>
      </c>
    </row>
    <row r="4" spans="1:12" x14ac:dyDescent="0.3">
      <c r="A4">
        <v>103</v>
      </c>
      <c r="B4" t="s">
        <v>13</v>
      </c>
      <c r="C4" t="s">
        <v>14</v>
      </c>
      <c r="D4" t="s">
        <v>15</v>
      </c>
      <c r="E4" t="s">
        <v>16</v>
      </c>
      <c r="H4" s="7" t="s">
        <v>177</v>
      </c>
      <c r="I4" s="5"/>
      <c r="J4" s="5"/>
      <c r="K4" s="5"/>
      <c r="L4" s="6"/>
    </row>
    <row r="5" spans="1:12" x14ac:dyDescent="0.3">
      <c r="A5">
        <v>104</v>
      </c>
      <c r="B5" t="s">
        <v>17</v>
      </c>
      <c r="C5" t="s">
        <v>18</v>
      </c>
      <c r="D5" t="s">
        <v>19</v>
      </c>
      <c r="E5" t="s">
        <v>20</v>
      </c>
    </row>
    <row r="6" spans="1:12" x14ac:dyDescent="0.3">
      <c r="A6">
        <v>105</v>
      </c>
      <c r="B6" t="s">
        <v>21</v>
      </c>
      <c r="C6" t="s">
        <v>22</v>
      </c>
      <c r="D6" t="s">
        <v>23</v>
      </c>
      <c r="E6" t="s">
        <v>24</v>
      </c>
      <c r="H6" s="3" t="s">
        <v>174</v>
      </c>
      <c r="I6">
        <v>107</v>
      </c>
    </row>
    <row r="7" spans="1:12" x14ac:dyDescent="0.3">
      <c r="A7">
        <v>106</v>
      </c>
      <c r="B7" t="s">
        <v>25</v>
      </c>
      <c r="C7" t="s">
        <v>26</v>
      </c>
      <c r="D7" t="s">
        <v>27</v>
      </c>
      <c r="E7" t="s">
        <v>28</v>
      </c>
      <c r="H7" s="3" t="s">
        <v>172</v>
      </c>
      <c r="I7" s="4" t="str">
        <f>IFERROR(VLOOKUP(I6,Oursearch,2,0),"Not Found")</f>
        <v>Mason Lindop</v>
      </c>
    </row>
    <row r="8" spans="1:12" x14ac:dyDescent="0.3">
      <c r="A8">
        <v>107</v>
      </c>
      <c r="B8" t="s">
        <v>29</v>
      </c>
      <c r="C8" t="s">
        <v>30</v>
      </c>
      <c r="D8" t="s">
        <v>23</v>
      </c>
      <c r="E8" t="s">
        <v>31</v>
      </c>
    </row>
    <row r="9" spans="1:12" x14ac:dyDescent="0.3">
      <c r="A9">
        <v>108</v>
      </c>
      <c r="B9" t="s">
        <v>32</v>
      </c>
      <c r="C9" t="s">
        <v>33</v>
      </c>
      <c r="D9" t="s">
        <v>34</v>
      </c>
      <c r="E9" t="s">
        <v>35</v>
      </c>
    </row>
    <row r="10" spans="1:12" x14ac:dyDescent="0.3">
      <c r="A10">
        <v>109</v>
      </c>
      <c r="B10" t="s">
        <v>36</v>
      </c>
      <c r="C10" t="s">
        <v>37</v>
      </c>
      <c r="D10" t="s">
        <v>38</v>
      </c>
      <c r="E10" t="s">
        <v>39</v>
      </c>
    </row>
    <row r="11" spans="1:12" x14ac:dyDescent="0.3">
      <c r="A11">
        <v>110</v>
      </c>
      <c r="B11" t="s">
        <v>40</v>
      </c>
      <c r="C11" t="s">
        <v>41</v>
      </c>
      <c r="D11" t="s">
        <v>42</v>
      </c>
      <c r="E11" t="s">
        <v>43</v>
      </c>
      <c r="H11" s="2" t="s">
        <v>178</v>
      </c>
      <c r="I11" s="2"/>
      <c r="J11" s="2"/>
      <c r="K11" s="2"/>
      <c r="L11" s="2"/>
    </row>
    <row r="12" spans="1:12" x14ac:dyDescent="0.3">
      <c r="A12">
        <v>111</v>
      </c>
      <c r="B12" t="s">
        <v>13</v>
      </c>
      <c r="C12" t="s">
        <v>44</v>
      </c>
      <c r="D12" t="s">
        <v>42</v>
      </c>
      <c r="E12" t="s">
        <v>45</v>
      </c>
    </row>
    <row r="13" spans="1:12" x14ac:dyDescent="0.3">
      <c r="A13">
        <v>112</v>
      </c>
      <c r="B13" t="s">
        <v>46</v>
      </c>
      <c r="C13" t="s">
        <v>47</v>
      </c>
      <c r="D13" t="s">
        <v>48</v>
      </c>
      <c r="E13" t="s">
        <v>49</v>
      </c>
      <c r="H13" s="3" t="s">
        <v>174</v>
      </c>
      <c r="I13" t="s">
        <v>137</v>
      </c>
    </row>
    <row r="14" spans="1:12" x14ac:dyDescent="0.3">
      <c r="A14">
        <v>113</v>
      </c>
      <c r="B14" t="s">
        <v>50</v>
      </c>
      <c r="C14" t="s">
        <v>51</v>
      </c>
      <c r="D14" t="s">
        <v>42</v>
      </c>
      <c r="E14" t="s">
        <v>52</v>
      </c>
      <c r="H14" s="3" t="s">
        <v>172</v>
      </c>
      <c r="I14" s="4" t="str">
        <f>VLOOKUP(I13,Oursearch2,3,0)</f>
        <v>Project Manager</v>
      </c>
    </row>
    <row r="15" spans="1:12" x14ac:dyDescent="0.3">
      <c r="A15">
        <v>114</v>
      </c>
      <c r="B15" t="s">
        <v>53</v>
      </c>
      <c r="C15" t="s">
        <v>54</v>
      </c>
      <c r="D15" t="s">
        <v>48</v>
      </c>
      <c r="E15" t="s">
        <v>55</v>
      </c>
    </row>
    <row r="16" spans="1:12" x14ac:dyDescent="0.3">
      <c r="A16">
        <v>115</v>
      </c>
      <c r="B16" t="s">
        <v>56</v>
      </c>
      <c r="C16" t="s">
        <v>57</v>
      </c>
      <c r="D16" t="s">
        <v>58</v>
      </c>
      <c r="E16" t="s">
        <v>59</v>
      </c>
    </row>
    <row r="17" spans="1:5" x14ac:dyDescent="0.3">
      <c r="A17">
        <v>116</v>
      </c>
      <c r="B17" t="s">
        <v>60</v>
      </c>
      <c r="C17" t="s">
        <v>61</v>
      </c>
      <c r="D17" t="s">
        <v>62</v>
      </c>
      <c r="E17" t="s">
        <v>63</v>
      </c>
    </row>
    <row r="18" spans="1:5" x14ac:dyDescent="0.3">
      <c r="A18">
        <v>117</v>
      </c>
      <c r="B18" t="s">
        <v>64</v>
      </c>
      <c r="C18" t="s">
        <v>65</v>
      </c>
      <c r="D18" t="s">
        <v>11</v>
      </c>
      <c r="E18" t="s">
        <v>66</v>
      </c>
    </row>
    <row r="19" spans="1:5" x14ac:dyDescent="0.3">
      <c r="A19">
        <v>118</v>
      </c>
      <c r="B19" t="s">
        <v>67</v>
      </c>
      <c r="C19" t="s">
        <v>68</v>
      </c>
      <c r="D19" t="s">
        <v>69</v>
      </c>
      <c r="E19" t="s">
        <v>70</v>
      </c>
    </row>
    <row r="20" spans="1:5" x14ac:dyDescent="0.3">
      <c r="A20">
        <v>119</v>
      </c>
      <c r="B20" t="s">
        <v>71</v>
      </c>
      <c r="C20" t="s">
        <v>72</v>
      </c>
      <c r="D20" t="s">
        <v>73</v>
      </c>
      <c r="E20" t="s">
        <v>74</v>
      </c>
    </row>
    <row r="21" spans="1:5" x14ac:dyDescent="0.3">
      <c r="A21">
        <v>120</v>
      </c>
      <c r="B21" t="s">
        <v>75</v>
      </c>
      <c r="C21" t="s">
        <v>76</v>
      </c>
      <c r="D21" t="s">
        <v>11</v>
      </c>
      <c r="E21" t="s">
        <v>77</v>
      </c>
    </row>
    <row r="22" spans="1:5" x14ac:dyDescent="0.3">
      <c r="A22">
        <v>121</v>
      </c>
      <c r="B22" t="s">
        <v>78</v>
      </c>
      <c r="C22" t="s">
        <v>79</v>
      </c>
      <c r="D22" t="s">
        <v>69</v>
      </c>
      <c r="E22" t="s">
        <v>80</v>
      </c>
    </row>
    <row r="23" spans="1:5" x14ac:dyDescent="0.3">
      <c r="A23">
        <v>122</v>
      </c>
      <c r="B23" t="s">
        <v>81</v>
      </c>
      <c r="C23" t="s">
        <v>82</v>
      </c>
      <c r="D23" t="s">
        <v>48</v>
      </c>
      <c r="E23" t="s">
        <v>83</v>
      </c>
    </row>
    <row r="24" spans="1:5" x14ac:dyDescent="0.3">
      <c r="A24">
        <v>123</v>
      </c>
      <c r="B24" t="s">
        <v>84</v>
      </c>
      <c r="C24" t="s">
        <v>85</v>
      </c>
      <c r="D24" t="s">
        <v>62</v>
      </c>
      <c r="E24" t="s">
        <v>86</v>
      </c>
    </row>
    <row r="25" spans="1:5" x14ac:dyDescent="0.3">
      <c r="A25">
        <v>124</v>
      </c>
      <c r="B25" t="s">
        <v>87</v>
      </c>
      <c r="C25" t="s">
        <v>88</v>
      </c>
      <c r="D25" t="s">
        <v>58</v>
      </c>
      <c r="E25" t="s">
        <v>89</v>
      </c>
    </row>
    <row r="26" spans="1:5" x14ac:dyDescent="0.3">
      <c r="A26">
        <v>125</v>
      </c>
      <c r="B26" t="s">
        <v>90</v>
      </c>
      <c r="C26" t="s">
        <v>91</v>
      </c>
      <c r="D26" t="s">
        <v>7</v>
      </c>
      <c r="E26" t="s">
        <v>92</v>
      </c>
    </row>
    <row r="27" spans="1:5" x14ac:dyDescent="0.3">
      <c r="A27">
        <v>126</v>
      </c>
      <c r="B27" t="s">
        <v>40</v>
      </c>
      <c r="C27" t="s">
        <v>93</v>
      </c>
      <c r="D27" t="s">
        <v>19</v>
      </c>
      <c r="E27" t="s">
        <v>94</v>
      </c>
    </row>
    <row r="28" spans="1:5" x14ac:dyDescent="0.3">
      <c r="A28">
        <v>127</v>
      </c>
      <c r="B28" t="s">
        <v>95</v>
      </c>
      <c r="C28" t="s">
        <v>96</v>
      </c>
      <c r="D28" t="s">
        <v>42</v>
      </c>
      <c r="E28" t="s">
        <v>97</v>
      </c>
    </row>
    <row r="29" spans="1:5" x14ac:dyDescent="0.3">
      <c r="A29">
        <v>128</v>
      </c>
      <c r="B29" t="s">
        <v>98</v>
      </c>
      <c r="C29" t="s">
        <v>99</v>
      </c>
      <c r="D29" t="s">
        <v>100</v>
      </c>
      <c r="E29" t="s">
        <v>101</v>
      </c>
    </row>
    <row r="30" spans="1:5" x14ac:dyDescent="0.3">
      <c r="A30">
        <v>129</v>
      </c>
      <c r="B30" t="s">
        <v>102</v>
      </c>
      <c r="C30" t="s">
        <v>103</v>
      </c>
      <c r="D30" t="s">
        <v>73</v>
      </c>
      <c r="E30" t="s">
        <v>104</v>
      </c>
    </row>
    <row r="31" spans="1:5" x14ac:dyDescent="0.3">
      <c r="A31">
        <v>130</v>
      </c>
      <c r="B31" t="s">
        <v>40</v>
      </c>
      <c r="C31" t="s">
        <v>105</v>
      </c>
      <c r="D31" t="s">
        <v>106</v>
      </c>
      <c r="E31" t="s">
        <v>107</v>
      </c>
    </row>
    <row r="32" spans="1:5" x14ac:dyDescent="0.3">
      <c r="A32">
        <v>131</v>
      </c>
      <c r="B32" t="s">
        <v>108</v>
      </c>
      <c r="C32" t="s">
        <v>109</v>
      </c>
      <c r="D32" t="s">
        <v>19</v>
      </c>
      <c r="E32" t="s">
        <v>110</v>
      </c>
    </row>
    <row r="33" spans="1:5" x14ac:dyDescent="0.3">
      <c r="A33">
        <v>132</v>
      </c>
      <c r="B33" t="s">
        <v>111</v>
      </c>
      <c r="C33" t="s">
        <v>112</v>
      </c>
      <c r="D33" t="s">
        <v>73</v>
      </c>
      <c r="E33" t="s">
        <v>113</v>
      </c>
    </row>
    <row r="34" spans="1:5" x14ac:dyDescent="0.3">
      <c r="A34">
        <v>133</v>
      </c>
      <c r="B34" t="s">
        <v>114</v>
      </c>
      <c r="C34" t="s">
        <v>115</v>
      </c>
      <c r="D34" t="s">
        <v>116</v>
      </c>
      <c r="E34" t="s">
        <v>117</v>
      </c>
    </row>
    <row r="35" spans="1:5" x14ac:dyDescent="0.3">
      <c r="A35">
        <v>134</v>
      </c>
      <c r="B35" t="s">
        <v>118</v>
      </c>
      <c r="C35" t="s">
        <v>119</v>
      </c>
      <c r="D35" t="s">
        <v>116</v>
      </c>
      <c r="E35" t="s">
        <v>120</v>
      </c>
    </row>
    <row r="36" spans="1:5" x14ac:dyDescent="0.3">
      <c r="A36">
        <v>135</v>
      </c>
      <c r="B36" t="s">
        <v>121</v>
      </c>
      <c r="C36" t="s">
        <v>122</v>
      </c>
      <c r="D36" t="s">
        <v>116</v>
      </c>
      <c r="E36" t="s">
        <v>123</v>
      </c>
    </row>
    <row r="37" spans="1:5" x14ac:dyDescent="0.3">
      <c r="A37">
        <v>136</v>
      </c>
      <c r="B37" t="s">
        <v>124</v>
      </c>
      <c r="C37" t="s">
        <v>125</v>
      </c>
      <c r="D37" t="s">
        <v>15</v>
      </c>
      <c r="E37" t="s">
        <v>126</v>
      </c>
    </row>
    <row r="38" spans="1:5" x14ac:dyDescent="0.3">
      <c r="A38">
        <v>137</v>
      </c>
      <c r="B38" t="s">
        <v>127</v>
      </c>
      <c r="C38" t="s">
        <v>128</v>
      </c>
      <c r="D38" t="s">
        <v>129</v>
      </c>
      <c r="E38" t="s">
        <v>130</v>
      </c>
    </row>
    <row r="39" spans="1:5" x14ac:dyDescent="0.3">
      <c r="A39">
        <v>138</v>
      </c>
      <c r="B39" t="s">
        <v>131</v>
      </c>
      <c r="C39" t="s">
        <v>132</v>
      </c>
      <c r="D39" t="s">
        <v>34</v>
      </c>
      <c r="E39" t="s">
        <v>133</v>
      </c>
    </row>
    <row r="40" spans="1:5" x14ac:dyDescent="0.3">
      <c r="A40">
        <v>139</v>
      </c>
      <c r="B40" t="s">
        <v>134</v>
      </c>
      <c r="C40" t="s">
        <v>135</v>
      </c>
      <c r="D40" t="s">
        <v>23</v>
      </c>
      <c r="E40" t="s">
        <v>136</v>
      </c>
    </row>
    <row r="41" spans="1:5" x14ac:dyDescent="0.3">
      <c r="A41">
        <v>140</v>
      </c>
      <c r="B41" t="s">
        <v>137</v>
      </c>
      <c r="C41" t="s">
        <v>138</v>
      </c>
      <c r="D41" t="s">
        <v>58</v>
      </c>
      <c r="E41" t="s">
        <v>139</v>
      </c>
    </row>
    <row r="42" spans="1:5" x14ac:dyDescent="0.3">
      <c r="A42">
        <v>141</v>
      </c>
      <c r="B42" t="s">
        <v>140</v>
      </c>
      <c r="C42" t="s">
        <v>141</v>
      </c>
      <c r="D42" t="s">
        <v>129</v>
      </c>
      <c r="E42" t="s">
        <v>142</v>
      </c>
    </row>
    <row r="43" spans="1:5" x14ac:dyDescent="0.3">
      <c r="A43">
        <v>142</v>
      </c>
      <c r="B43" t="s">
        <v>143</v>
      </c>
      <c r="C43" t="s">
        <v>144</v>
      </c>
      <c r="D43" t="s">
        <v>27</v>
      </c>
      <c r="E43" t="s">
        <v>145</v>
      </c>
    </row>
    <row r="44" spans="1:5" x14ac:dyDescent="0.3">
      <c r="A44">
        <v>143</v>
      </c>
      <c r="B44" t="s">
        <v>146</v>
      </c>
      <c r="C44" t="s">
        <v>147</v>
      </c>
      <c r="D44" t="s">
        <v>11</v>
      </c>
      <c r="E44" t="s">
        <v>148</v>
      </c>
    </row>
    <row r="45" spans="1:5" x14ac:dyDescent="0.3">
      <c r="A45">
        <v>144</v>
      </c>
      <c r="B45" t="s">
        <v>149</v>
      </c>
      <c r="C45" t="s">
        <v>150</v>
      </c>
      <c r="D45" t="s">
        <v>42</v>
      </c>
      <c r="E45" t="s">
        <v>151</v>
      </c>
    </row>
    <row r="46" spans="1:5" x14ac:dyDescent="0.3">
      <c r="A46">
        <v>145</v>
      </c>
      <c r="B46" t="s">
        <v>152</v>
      </c>
      <c r="C46" t="s">
        <v>153</v>
      </c>
      <c r="D46" t="s">
        <v>48</v>
      </c>
      <c r="E46" t="s">
        <v>154</v>
      </c>
    </row>
    <row r="47" spans="1:5" x14ac:dyDescent="0.3">
      <c r="A47">
        <v>146</v>
      </c>
      <c r="B47" t="s">
        <v>155</v>
      </c>
      <c r="C47" t="s">
        <v>156</v>
      </c>
      <c r="D47" t="s">
        <v>73</v>
      </c>
      <c r="E47" t="s">
        <v>157</v>
      </c>
    </row>
    <row r="48" spans="1:5" x14ac:dyDescent="0.3">
      <c r="A48">
        <v>147</v>
      </c>
      <c r="B48" t="s">
        <v>158</v>
      </c>
      <c r="C48" t="s">
        <v>159</v>
      </c>
      <c r="D48" t="s">
        <v>160</v>
      </c>
      <c r="E48" t="s">
        <v>161</v>
      </c>
    </row>
    <row r="49" spans="1:5" x14ac:dyDescent="0.3">
      <c r="A49">
        <v>148</v>
      </c>
      <c r="B49" t="s">
        <v>162</v>
      </c>
      <c r="C49" t="s">
        <v>163</v>
      </c>
      <c r="D49" t="s">
        <v>23</v>
      </c>
      <c r="E49" t="s">
        <v>164</v>
      </c>
    </row>
    <row r="50" spans="1:5" x14ac:dyDescent="0.3">
      <c r="A50">
        <v>149</v>
      </c>
      <c r="B50" t="s">
        <v>165</v>
      </c>
      <c r="C50" t="s">
        <v>166</v>
      </c>
      <c r="D50" t="s">
        <v>129</v>
      </c>
      <c r="E50" t="s">
        <v>167</v>
      </c>
    </row>
    <row r="51" spans="1:5" x14ac:dyDescent="0.3">
      <c r="A51">
        <v>150</v>
      </c>
      <c r="B51" t="s">
        <v>168</v>
      </c>
      <c r="C51" t="s">
        <v>169</v>
      </c>
      <c r="D51" t="s">
        <v>58</v>
      </c>
      <c r="E51" t="s">
        <v>170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42402-1E65-40E2-B178-93E678CAFF83}">
  <dimension ref="A1:G19"/>
  <sheetViews>
    <sheetView workbookViewId="0">
      <selection activeCell="C21" sqref="C21"/>
    </sheetView>
  </sheetViews>
  <sheetFormatPr defaultRowHeight="14.4" x14ac:dyDescent="0.3"/>
  <cols>
    <col min="1" max="1" width="13.109375" bestFit="1" customWidth="1"/>
    <col min="2" max="2" width="21" bestFit="1" customWidth="1"/>
    <col min="3" max="3" width="22.109375" bestFit="1" customWidth="1"/>
    <col min="4" max="4" width="22.6640625" bestFit="1" customWidth="1"/>
    <col min="5" max="5" width="22" bestFit="1" customWidth="1"/>
    <col min="6" max="6" width="22.5546875" bestFit="1" customWidth="1"/>
    <col min="7" max="7" width="29.109375" bestFit="1" customWidth="1"/>
  </cols>
  <sheetData>
    <row r="1" spans="1:7" x14ac:dyDescent="0.3">
      <c r="A1" s="9" t="s">
        <v>179</v>
      </c>
      <c r="B1" s="9">
        <v>101</v>
      </c>
      <c r="C1" s="9">
        <v>102</v>
      </c>
      <c r="D1" s="9">
        <v>103</v>
      </c>
      <c r="E1" s="9">
        <v>104</v>
      </c>
      <c r="F1" s="9">
        <v>105</v>
      </c>
      <c r="G1" s="9">
        <v>106</v>
      </c>
    </row>
    <row r="2" spans="1:7" x14ac:dyDescent="0.3">
      <c r="A2" t="s">
        <v>1</v>
      </c>
      <c r="B2" t="s">
        <v>180</v>
      </c>
      <c r="C2" t="s">
        <v>181</v>
      </c>
      <c r="D2" t="s">
        <v>182</v>
      </c>
      <c r="E2" t="s">
        <v>183</v>
      </c>
      <c r="F2" t="s">
        <v>184</v>
      </c>
      <c r="G2" t="s">
        <v>185</v>
      </c>
    </row>
    <row r="3" spans="1:7" x14ac:dyDescent="0.3">
      <c r="A3" t="s">
        <v>2</v>
      </c>
      <c r="B3" t="s">
        <v>186</v>
      </c>
      <c r="C3" t="s">
        <v>187</v>
      </c>
      <c r="D3" t="s">
        <v>188</v>
      </c>
      <c r="E3" t="s">
        <v>189</v>
      </c>
      <c r="F3" t="s">
        <v>190</v>
      </c>
      <c r="G3" t="s">
        <v>191</v>
      </c>
    </row>
    <row r="4" spans="1:7" x14ac:dyDescent="0.3">
      <c r="A4" t="s">
        <v>3</v>
      </c>
      <c r="B4" t="s">
        <v>58</v>
      </c>
      <c r="C4" t="s">
        <v>129</v>
      </c>
      <c r="D4" t="s">
        <v>192</v>
      </c>
      <c r="E4" t="s">
        <v>193</v>
      </c>
      <c r="F4" t="s">
        <v>100</v>
      </c>
      <c r="G4" t="s">
        <v>7</v>
      </c>
    </row>
    <row r="5" spans="1:7" x14ac:dyDescent="0.3">
      <c r="A5" t="s">
        <v>4</v>
      </c>
      <c r="B5" s="11">
        <v>4000</v>
      </c>
      <c r="C5" s="11">
        <v>5400</v>
      </c>
      <c r="D5" s="11">
        <v>3000</v>
      </c>
      <c r="E5" s="11">
        <v>8000</v>
      </c>
      <c r="F5" s="11">
        <v>2000</v>
      </c>
      <c r="G5" s="11">
        <v>5000</v>
      </c>
    </row>
    <row r="8" spans="1:7" x14ac:dyDescent="0.3">
      <c r="B8" s="13" t="s">
        <v>194</v>
      </c>
      <c r="C8" s="12"/>
    </row>
    <row r="10" spans="1:7" x14ac:dyDescent="0.3">
      <c r="B10" s="14" t="s">
        <v>172</v>
      </c>
      <c r="C10" t="s">
        <v>182</v>
      </c>
    </row>
    <row r="11" spans="1:7" x14ac:dyDescent="0.3">
      <c r="B11" s="14" t="s">
        <v>4</v>
      </c>
      <c r="C11" s="4">
        <f>HLOOKUP(C10,A2:G5,4,0)</f>
        <v>3000</v>
      </c>
    </row>
    <row r="16" spans="1:7" x14ac:dyDescent="0.3">
      <c r="B16" s="13" t="s">
        <v>195</v>
      </c>
      <c r="C16" s="12"/>
    </row>
    <row r="18" spans="2:3" x14ac:dyDescent="0.3">
      <c r="B18" s="14" t="s">
        <v>174</v>
      </c>
      <c r="C18">
        <v>105</v>
      </c>
    </row>
    <row r="19" spans="2:3" x14ac:dyDescent="0.3">
      <c r="B19" s="14" t="s">
        <v>4</v>
      </c>
      <c r="C19" s="4" t="str">
        <f>IFERROR(HLOOKUP(C18,A1:G5,4,0),"Not Found")</f>
        <v>Fabricator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F96B0-DDF1-4E23-A3BE-94ED096E10F1}">
  <dimension ref="A1:I51"/>
  <sheetViews>
    <sheetView workbookViewId="0">
      <selection activeCell="I15" sqref="I15"/>
    </sheetView>
  </sheetViews>
  <sheetFormatPr defaultRowHeight="14.4" x14ac:dyDescent="0.3"/>
  <cols>
    <col min="2" max="2" width="12.33203125" bestFit="1" customWidth="1"/>
    <col min="3" max="3" width="34" customWidth="1"/>
    <col min="5" max="5" width="13" customWidth="1"/>
    <col min="8" max="8" width="17.6640625" customWidth="1"/>
    <col min="9" max="9" width="34.66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 x14ac:dyDescent="0.3">
      <c r="A2">
        <v>101</v>
      </c>
      <c r="B2" t="s">
        <v>5</v>
      </c>
      <c r="C2" s="10" t="s">
        <v>6</v>
      </c>
      <c r="D2" t="s">
        <v>7</v>
      </c>
      <c r="E2" t="s">
        <v>8</v>
      </c>
    </row>
    <row r="3" spans="1:9" x14ac:dyDescent="0.3">
      <c r="A3">
        <v>102</v>
      </c>
      <c r="B3" t="s">
        <v>9</v>
      </c>
      <c r="C3" s="10" t="s">
        <v>10</v>
      </c>
      <c r="D3" t="s">
        <v>11</v>
      </c>
      <c r="E3" t="s">
        <v>12</v>
      </c>
    </row>
    <row r="4" spans="1:9" x14ac:dyDescent="0.3">
      <c r="A4">
        <v>103</v>
      </c>
      <c r="B4" t="s">
        <v>13</v>
      </c>
      <c r="C4" t="s">
        <v>14</v>
      </c>
      <c r="D4" t="s">
        <v>15</v>
      </c>
      <c r="E4" t="s">
        <v>16</v>
      </c>
    </row>
    <row r="5" spans="1:9" x14ac:dyDescent="0.3">
      <c r="A5">
        <v>104</v>
      </c>
      <c r="B5" t="s">
        <v>17</v>
      </c>
      <c r="C5" s="16" t="s">
        <v>18</v>
      </c>
      <c r="D5" t="s">
        <v>19</v>
      </c>
      <c r="E5" t="s">
        <v>20</v>
      </c>
      <c r="H5" s="7" t="s">
        <v>196</v>
      </c>
      <c r="I5" s="5"/>
    </row>
    <row r="6" spans="1:9" x14ac:dyDescent="0.3">
      <c r="A6">
        <v>105</v>
      </c>
      <c r="B6" t="s">
        <v>21</v>
      </c>
      <c r="C6" s="16" t="s">
        <v>197</v>
      </c>
      <c r="D6" t="s">
        <v>23</v>
      </c>
      <c r="E6" t="s">
        <v>24</v>
      </c>
    </row>
    <row r="7" spans="1:9" x14ac:dyDescent="0.3">
      <c r="A7">
        <v>106</v>
      </c>
      <c r="B7" t="s">
        <v>25</v>
      </c>
      <c r="C7" t="s">
        <v>26</v>
      </c>
      <c r="D7" t="s">
        <v>27</v>
      </c>
      <c r="E7" t="s">
        <v>28</v>
      </c>
      <c r="H7" s="3" t="s">
        <v>172</v>
      </c>
      <c r="I7" t="s">
        <v>60</v>
      </c>
    </row>
    <row r="8" spans="1:9" x14ac:dyDescent="0.3">
      <c r="A8">
        <v>107</v>
      </c>
      <c r="B8" t="s">
        <v>29</v>
      </c>
      <c r="C8" t="s">
        <v>30</v>
      </c>
      <c r="D8" t="s">
        <v>23</v>
      </c>
      <c r="E8" t="s">
        <v>31</v>
      </c>
      <c r="H8" s="3" t="s">
        <v>4</v>
      </c>
      <c r="I8" s="4" t="str">
        <f>LOOKUP(I7,B1:B51,E1:E51)</f>
        <v>$10,349.00</v>
      </c>
    </row>
    <row r="9" spans="1:9" x14ac:dyDescent="0.3">
      <c r="A9">
        <v>108</v>
      </c>
      <c r="B9" t="s">
        <v>32</v>
      </c>
      <c r="C9" t="s">
        <v>33</v>
      </c>
      <c r="D9" t="s">
        <v>34</v>
      </c>
      <c r="E9" t="s">
        <v>35</v>
      </c>
    </row>
    <row r="10" spans="1:9" x14ac:dyDescent="0.3">
      <c r="A10">
        <v>109</v>
      </c>
      <c r="B10" t="s">
        <v>36</v>
      </c>
      <c r="C10" s="16" t="s">
        <v>37</v>
      </c>
      <c r="D10" t="s">
        <v>38</v>
      </c>
      <c r="E10" t="s">
        <v>39</v>
      </c>
    </row>
    <row r="11" spans="1:9" ht="28.8" x14ac:dyDescent="0.3">
      <c r="A11">
        <v>110</v>
      </c>
      <c r="B11" t="s">
        <v>40</v>
      </c>
      <c r="C11" t="s">
        <v>41</v>
      </c>
      <c r="D11" t="s">
        <v>42</v>
      </c>
      <c r="E11" t="s">
        <v>43</v>
      </c>
      <c r="H11" s="15" t="s">
        <v>198</v>
      </c>
    </row>
    <row r="12" spans="1:9" x14ac:dyDescent="0.3">
      <c r="A12">
        <v>111</v>
      </c>
      <c r="B12" t="s">
        <v>13</v>
      </c>
      <c r="C12" t="s">
        <v>44</v>
      </c>
      <c r="D12" t="s">
        <v>42</v>
      </c>
      <c r="E12" t="s">
        <v>45</v>
      </c>
      <c r="H12" s="8"/>
      <c r="I12" s="2"/>
    </row>
    <row r="13" spans="1:9" x14ac:dyDescent="0.3">
      <c r="A13">
        <v>112</v>
      </c>
      <c r="B13" t="s">
        <v>46</v>
      </c>
      <c r="C13" t="s">
        <v>47</v>
      </c>
      <c r="D13" t="s">
        <v>48</v>
      </c>
      <c r="E13" s="11">
        <v>6362</v>
      </c>
    </row>
    <row r="14" spans="1:9" x14ac:dyDescent="0.3">
      <c r="A14">
        <v>113</v>
      </c>
      <c r="B14" t="s">
        <v>50</v>
      </c>
      <c r="C14" t="s">
        <v>51</v>
      </c>
      <c r="D14" t="s">
        <v>42</v>
      </c>
      <c r="E14" t="s">
        <v>52</v>
      </c>
      <c r="H14" s="3" t="s">
        <v>2</v>
      </c>
      <c r="I14" s="17">
        <v>6362</v>
      </c>
    </row>
    <row r="15" spans="1:9" x14ac:dyDescent="0.3">
      <c r="A15">
        <v>114</v>
      </c>
      <c r="B15" t="s">
        <v>53</v>
      </c>
      <c r="C15" t="s">
        <v>54</v>
      </c>
      <c r="D15" t="s">
        <v>48</v>
      </c>
      <c r="E15" t="s">
        <v>55</v>
      </c>
      <c r="H15" s="3" t="s">
        <v>174</v>
      </c>
      <c r="I15" s="4">
        <f>LOOKUP(I14,E1:E51,A1:A51)</f>
        <v>112</v>
      </c>
    </row>
    <row r="16" spans="1:9" x14ac:dyDescent="0.3">
      <c r="A16">
        <v>115</v>
      </c>
      <c r="B16" t="s">
        <v>56</v>
      </c>
      <c r="C16" t="s">
        <v>57</v>
      </c>
      <c r="D16" t="s">
        <v>58</v>
      </c>
      <c r="E16" t="s">
        <v>59</v>
      </c>
    </row>
    <row r="17" spans="1:5" x14ac:dyDescent="0.3">
      <c r="A17">
        <v>116</v>
      </c>
      <c r="B17" t="s">
        <v>60</v>
      </c>
      <c r="C17" t="s">
        <v>61</v>
      </c>
      <c r="D17" t="s">
        <v>62</v>
      </c>
      <c r="E17" t="s">
        <v>63</v>
      </c>
    </row>
    <row r="18" spans="1:5" x14ac:dyDescent="0.3">
      <c r="A18">
        <v>117</v>
      </c>
      <c r="B18" t="s">
        <v>64</v>
      </c>
      <c r="C18" t="s">
        <v>65</v>
      </c>
      <c r="D18" t="s">
        <v>11</v>
      </c>
      <c r="E18" t="s">
        <v>66</v>
      </c>
    </row>
    <row r="19" spans="1:5" x14ac:dyDescent="0.3">
      <c r="A19">
        <v>118</v>
      </c>
      <c r="B19" t="s">
        <v>67</v>
      </c>
      <c r="C19" t="s">
        <v>68</v>
      </c>
      <c r="D19" t="s">
        <v>69</v>
      </c>
      <c r="E19" t="s">
        <v>70</v>
      </c>
    </row>
    <row r="20" spans="1:5" x14ac:dyDescent="0.3">
      <c r="A20">
        <v>119</v>
      </c>
      <c r="B20" t="s">
        <v>71</v>
      </c>
      <c r="C20" t="s">
        <v>72</v>
      </c>
      <c r="D20" t="s">
        <v>73</v>
      </c>
      <c r="E20" t="s">
        <v>74</v>
      </c>
    </row>
    <row r="21" spans="1:5" x14ac:dyDescent="0.3">
      <c r="A21">
        <v>120</v>
      </c>
      <c r="B21" t="s">
        <v>75</v>
      </c>
      <c r="C21" t="s">
        <v>76</v>
      </c>
      <c r="D21" t="s">
        <v>11</v>
      </c>
      <c r="E21" t="s">
        <v>77</v>
      </c>
    </row>
    <row r="22" spans="1:5" x14ac:dyDescent="0.3">
      <c r="A22">
        <v>121</v>
      </c>
      <c r="B22" t="s">
        <v>78</v>
      </c>
      <c r="C22" t="s">
        <v>79</v>
      </c>
      <c r="D22" t="s">
        <v>69</v>
      </c>
      <c r="E22" t="s">
        <v>80</v>
      </c>
    </row>
    <row r="23" spans="1:5" x14ac:dyDescent="0.3">
      <c r="A23">
        <v>122</v>
      </c>
      <c r="B23" t="s">
        <v>81</v>
      </c>
      <c r="C23" t="s">
        <v>82</v>
      </c>
      <c r="D23" t="s">
        <v>48</v>
      </c>
      <c r="E23" t="s">
        <v>83</v>
      </c>
    </row>
    <row r="24" spans="1:5" x14ac:dyDescent="0.3">
      <c r="A24">
        <v>123</v>
      </c>
      <c r="B24" t="s">
        <v>84</v>
      </c>
      <c r="C24" t="s">
        <v>85</v>
      </c>
      <c r="D24" t="s">
        <v>62</v>
      </c>
      <c r="E24" t="s">
        <v>86</v>
      </c>
    </row>
    <row r="25" spans="1:5" x14ac:dyDescent="0.3">
      <c r="A25">
        <v>124</v>
      </c>
      <c r="B25" t="s">
        <v>87</v>
      </c>
      <c r="C25" t="s">
        <v>88</v>
      </c>
      <c r="D25" t="s">
        <v>58</v>
      </c>
      <c r="E25" t="s">
        <v>89</v>
      </c>
    </row>
    <row r="26" spans="1:5" x14ac:dyDescent="0.3">
      <c r="A26">
        <v>125</v>
      </c>
      <c r="B26" t="s">
        <v>90</v>
      </c>
      <c r="C26" t="s">
        <v>91</v>
      </c>
      <c r="D26" t="s">
        <v>7</v>
      </c>
      <c r="E26" t="s">
        <v>92</v>
      </c>
    </row>
    <row r="27" spans="1:5" x14ac:dyDescent="0.3">
      <c r="A27">
        <v>126</v>
      </c>
      <c r="B27" t="s">
        <v>40</v>
      </c>
      <c r="C27" t="s">
        <v>93</v>
      </c>
      <c r="D27" t="s">
        <v>19</v>
      </c>
      <c r="E27" t="s">
        <v>94</v>
      </c>
    </row>
    <row r="28" spans="1:5" x14ac:dyDescent="0.3">
      <c r="A28">
        <v>127</v>
      </c>
      <c r="B28" t="s">
        <v>95</v>
      </c>
      <c r="C28" t="s">
        <v>96</v>
      </c>
      <c r="D28" t="s">
        <v>42</v>
      </c>
      <c r="E28" t="s">
        <v>97</v>
      </c>
    </row>
    <row r="29" spans="1:5" x14ac:dyDescent="0.3">
      <c r="A29">
        <v>128</v>
      </c>
      <c r="B29" t="s">
        <v>98</v>
      </c>
      <c r="C29" t="s">
        <v>99</v>
      </c>
      <c r="D29" t="s">
        <v>100</v>
      </c>
      <c r="E29" t="s">
        <v>101</v>
      </c>
    </row>
    <row r="30" spans="1:5" x14ac:dyDescent="0.3">
      <c r="A30">
        <v>129</v>
      </c>
      <c r="B30" t="s">
        <v>102</v>
      </c>
      <c r="C30" t="s">
        <v>103</v>
      </c>
      <c r="D30" t="s">
        <v>73</v>
      </c>
      <c r="E30" t="s">
        <v>104</v>
      </c>
    </row>
    <row r="31" spans="1:5" x14ac:dyDescent="0.3">
      <c r="A31">
        <v>130</v>
      </c>
      <c r="B31" t="s">
        <v>40</v>
      </c>
      <c r="C31" t="s">
        <v>105</v>
      </c>
      <c r="D31" t="s">
        <v>106</v>
      </c>
      <c r="E31" t="s">
        <v>107</v>
      </c>
    </row>
    <row r="32" spans="1:5" x14ac:dyDescent="0.3">
      <c r="A32">
        <v>131</v>
      </c>
      <c r="B32" t="s">
        <v>108</v>
      </c>
      <c r="C32" t="s">
        <v>109</v>
      </c>
      <c r="D32" t="s">
        <v>19</v>
      </c>
      <c r="E32" t="s">
        <v>110</v>
      </c>
    </row>
    <row r="33" spans="1:5" x14ac:dyDescent="0.3">
      <c r="A33">
        <v>132</v>
      </c>
      <c r="B33" t="s">
        <v>111</v>
      </c>
      <c r="C33" t="s">
        <v>112</v>
      </c>
      <c r="D33" t="s">
        <v>73</v>
      </c>
      <c r="E33" t="s">
        <v>113</v>
      </c>
    </row>
    <row r="34" spans="1:5" x14ac:dyDescent="0.3">
      <c r="A34">
        <v>133</v>
      </c>
      <c r="B34" t="s">
        <v>114</v>
      </c>
      <c r="C34" t="s">
        <v>115</v>
      </c>
      <c r="D34" t="s">
        <v>116</v>
      </c>
      <c r="E34" t="s">
        <v>117</v>
      </c>
    </row>
    <row r="35" spans="1:5" x14ac:dyDescent="0.3">
      <c r="A35">
        <v>134</v>
      </c>
      <c r="B35" t="s">
        <v>118</v>
      </c>
      <c r="C35" t="s">
        <v>119</v>
      </c>
      <c r="D35" t="s">
        <v>116</v>
      </c>
      <c r="E35" t="s">
        <v>120</v>
      </c>
    </row>
    <row r="36" spans="1:5" x14ac:dyDescent="0.3">
      <c r="A36">
        <v>135</v>
      </c>
      <c r="B36" t="s">
        <v>121</v>
      </c>
      <c r="C36" t="s">
        <v>122</v>
      </c>
      <c r="D36" t="s">
        <v>116</v>
      </c>
      <c r="E36" t="s">
        <v>123</v>
      </c>
    </row>
    <row r="37" spans="1:5" x14ac:dyDescent="0.3">
      <c r="A37">
        <v>136</v>
      </c>
      <c r="B37" t="s">
        <v>124</v>
      </c>
      <c r="C37" t="s">
        <v>125</v>
      </c>
      <c r="D37" t="s">
        <v>15</v>
      </c>
      <c r="E37" t="s">
        <v>126</v>
      </c>
    </row>
    <row r="38" spans="1:5" x14ac:dyDescent="0.3">
      <c r="A38">
        <v>137</v>
      </c>
      <c r="B38" t="s">
        <v>127</v>
      </c>
      <c r="C38" t="s">
        <v>128</v>
      </c>
      <c r="D38" t="s">
        <v>129</v>
      </c>
      <c r="E38" t="s">
        <v>130</v>
      </c>
    </row>
    <row r="39" spans="1:5" x14ac:dyDescent="0.3">
      <c r="A39">
        <v>138</v>
      </c>
      <c r="B39" t="s">
        <v>131</v>
      </c>
      <c r="C39" t="s">
        <v>132</v>
      </c>
      <c r="D39" t="s">
        <v>34</v>
      </c>
      <c r="E39" t="s">
        <v>133</v>
      </c>
    </row>
    <row r="40" spans="1:5" x14ac:dyDescent="0.3">
      <c r="A40">
        <v>139</v>
      </c>
      <c r="B40" t="s">
        <v>134</v>
      </c>
      <c r="C40" t="s">
        <v>135</v>
      </c>
      <c r="D40" t="s">
        <v>23</v>
      </c>
      <c r="E40" t="s">
        <v>136</v>
      </c>
    </row>
    <row r="41" spans="1:5" x14ac:dyDescent="0.3">
      <c r="A41">
        <v>140</v>
      </c>
      <c r="B41" t="s">
        <v>137</v>
      </c>
      <c r="C41" t="s">
        <v>138</v>
      </c>
      <c r="D41" t="s">
        <v>58</v>
      </c>
      <c r="E41" t="s">
        <v>139</v>
      </c>
    </row>
    <row r="42" spans="1:5" x14ac:dyDescent="0.3">
      <c r="A42">
        <v>141</v>
      </c>
      <c r="B42" t="s">
        <v>140</v>
      </c>
      <c r="C42" t="s">
        <v>141</v>
      </c>
      <c r="D42" t="s">
        <v>129</v>
      </c>
      <c r="E42" t="s">
        <v>142</v>
      </c>
    </row>
    <row r="43" spans="1:5" x14ac:dyDescent="0.3">
      <c r="A43">
        <v>142</v>
      </c>
      <c r="B43" t="s">
        <v>143</v>
      </c>
      <c r="C43" t="s">
        <v>144</v>
      </c>
      <c r="D43" t="s">
        <v>27</v>
      </c>
      <c r="E43" t="s">
        <v>145</v>
      </c>
    </row>
    <row r="44" spans="1:5" x14ac:dyDescent="0.3">
      <c r="A44">
        <v>143</v>
      </c>
      <c r="B44" t="s">
        <v>146</v>
      </c>
      <c r="C44" t="s">
        <v>147</v>
      </c>
      <c r="D44" t="s">
        <v>11</v>
      </c>
      <c r="E44" t="s">
        <v>148</v>
      </c>
    </row>
    <row r="45" spans="1:5" x14ac:dyDescent="0.3">
      <c r="A45">
        <v>144</v>
      </c>
      <c r="B45" t="s">
        <v>149</v>
      </c>
      <c r="C45" t="s">
        <v>150</v>
      </c>
      <c r="D45" t="s">
        <v>42</v>
      </c>
      <c r="E45" t="s">
        <v>151</v>
      </c>
    </row>
    <row r="46" spans="1:5" x14ac:dyDescent="0.3">
      <c r="A46">
        <v>145</v>
      </c>
      <c r="B46" t="s">
        <v>152</v>
      </c>
      <c r="C46" t="s">
        <v>153</v>
      </c>
      <c r="D46" t="s">
        <v>48</v>
      </c>
      <c r="E46" t="s">
        <v>154</v>
      </c>
    </row>
    <row r="47" spans="1:5" x14ac:dyDescent="0.3">
      <c r="A47">
        <v>146</v>
      </c>
      <c r="B47" t="s">
        <v>155</v>
      </c>
      <c r="C47" t="s">
        <v>156</v>
      </c>
      <c r="D47" t="s">
        <v>73</v>
      </c>
      <c r="E47" t="s">
        <v>157</v>
      </c>
    </row>
    <row r="48" spans="1:5" x14ac:dyDescent="0.3">
      <c r="A48">
        <v>147</v>
      </c>
      <c r="B48" t="s">
        <v>158</v>
      </c>
      <c r="C48" t="s">
        <v>159</v>
      </c>
      <c r="D48" t="s">
        <v>160</v>
      </c>
      <c r="E48" t="s">
        <v>161</v>
      </c>
    </row>
    <row r="49" spans="1:5" x14ac:dyDescent="0.3">
      <c r="A49">
        <v>148</v>
      </c>
      <c r="B49" t="s">
        <v>162</v>
      </c>
      <c r="C49" t="s">
        <v>163</v>
      </c>
      <c r="D49" t="s">
        <v>23</v>
      </c>
      <c r="E49" t="s">
        <v>164</v>
      </c>
    </row>
    <row r="50" spans="1:5" x14ac:dyDescent="0.3">
      <c r="A50">
        <v>149</v>
      </c>
      <c r="B50" t="s">
        <v>165</v>
      </c>
      <c r="C50" t="s">
        <v>166</v>
      </c>
      <c r="D50" t="s">
        <v>129</v>
      </c>
      <c r="E50" t="s">
        <v>167</v>
      </c>
    </row>
    <row r="51" spans="1:5" x14ac:dyDescent="0.3">
      <c r="A51">
        <v>150</v>
      </c>
      <c r="B51" t="s">
        <v>168</v>
      </c>
      <c r="C51" t="s">
        <v>169</v>
      </c>
      <c r="D51" t="s">
        <v>58</v>
      </c>
      <c r="E51" t="s">
        <v>170</v>
      </c>
    </row>
  </sheetData>
  <hyperlinks>
    <hyperlink ref="C2" r:id="rId1" xr:uid="{F472B8CA-B75A-41E2-9F33-2A9CF7AF59BA}"/>
    <hyperlink ref="C3" r:id="rId2" xr:uid="{61B1117A-58C2-4758-BFBF-0857128F3B19}"/>
    <hyperlink ref="C5" r:id="rId3" xr:uid="{F451DE22-DDE3-440D-B5EE-FBF35DF83B1D}"/>
    <hyperlink ref="C6" r:id="rId4" xr:uid="{3F3799D1-333A-4535-9D2A-69C2EDA84D49}"/>
    <hyperlink ref="C10" r:id="rId5" xr:uid="{DE0A4BD6-EA9F-4260-AAF5-0D85BA9C112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12F37-D67F-476D-8FD4-A2A3AB516D18}">
  <dimension ref="A1:H51"/>
  <sheetViews>
    <sheetView tabSelected="1" topLeftCell="F2" workbookViewId="0">
      <selection activeCell="M17" sqref="M17"/>
    </sheetView>
  </sheetViews>
  <sheetFormatPr defaultRowHeight="14.4" x14ac:dyDescent="0.3"/>
  <cols>
    <col min="2" max="2" width="12.5546875" bestFit="1" customWidth="1"/>
    <col min="7" max="7" width="13.44140625" customWidth="1"/>
    <col min="8" max="8" width="48.109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3">
      <c r="A2">
        <v>101</v>
      </c>
      <c r="B2" t="s">
        <v>5</v>
      </c>
      <c r="C2" t="s">
        <v>6</v>
      </c>
      <c r="D2" t="s">
        <v>7</v>
      </c>
      <c r="E2" t="s">
        <v>8</v>
      </c>
    </row>
    <row r="3" spans="1:8" x14ac:dyDescent="0.3">
      <c r="A3">
        <v>102</v>
      </c>
      <c r="B3" t="s">
        <v>9</v>
      </c>
      <c r="C3" t="s">
        <v>10</v>
      </c>
      <c r="D3" t="s">
        <v>11</v>
      </c>
      <c r="E3" t="s">
        <v>12</v>
      </c>
      <c r="G3" s="7" t="s">
        <v>171</v>
      </c>
      <c r="H3" s="5"/>
    </row>
    <row r="4" spans="1:8" x14ac:dyDescent="0.3">
      <c r="A4">
        <v>103</v>
      </c>
      <c r="B4" t="s">
        <v>13</v>
      </c>
      <c r="C4" t="s">
        <v>14</v>
      </c>
      <c r="D4" t="s">
        <v>15</v>
      </c>
      <c r="E4" t="s">
        <v>16</v>
      </c>
    </row>
    <row r="5" spans="1:8" x14ac:dyDescent="0.3">
      <c r="A5">
        <v>104</v>
      </c>
      <c r="B5" t="s">
        <v>17</v>
      </c>
      <c r="C5" t="s">
        <v>18</v>
      </c>
      <c r="D5" t="s">
        <v>19</v>
      </c>
      <c r="E5" t="s">
        <v>20</v>
      </c>
      <c r="G5" s="3" t="s">
        <v>172</v>
      </c>
      <c r="H5" t="s">
        <v>32</v>
      </c>
    </row>
    <row r="6" spans="1:8" x14ac:dyDescent="0.3">
      <c r="A6">
        <v>105</v>
      </c>
      <c r="B6" t="s">
        <v>21</v>
      </c>
      <c r="C6" t="s">
        <v>22</v>
      </c>
      <c r="D6" t="s">
        <v>23</v>
      </c>
      <c r="E6" t="s">
        <v>24</v>
      </c>
      <c r="G6" s="3" t="s">
        <v>3</v>
      </c>
      <c r="H6" s="4" t="str">
        <f>_xlfn.XLOOKUP(H5,B1:B51,D1:D51,"Not Found",0,1)</f>
        <v>Business Broker</v>
      </c>
    </row>
    <row r="7" spans="1:8" x14ac:dyDescent="0.3">
      <c r="A7">
        <v>106</v>
      </c>
      <c r="B7" t="s">
        <v>25</v>
      </c>
      <c r="C7" t="s">
        <v>26</v>
      </c>
      <c r="D7" t="s">
        <v>27</v>
      </c>
      <c r="E7" t="s">
        <v>28</v>
      </c>
    </row>
    <row r="8" spans="1:8" x14ac:dyDescent="0.3">
      <c r="A8">
        <v>107</v>
      </c>
      <c r="B8" t="s">
        <v>29</v>
      </c>
      <c r="C8" t="s">
        <v>30</v>
      </c>
      <c r="D8" t="s">
        <v>23</v>
      </c>
      <c r="E8" t="s">
        <v>31</v>
      </c>
    </row>
    <row r="9" spans="1:8" x14ac:dyDescent="0.3">
      <c r="A9">
        <v>108</v>
      </c>
      <c r="B9" t="s">
        <v>32</v>
      </c>
      <c r="C9" t="s">
        <v>33</v>
      </c>
      <c r="D9" t="s">
        <v>34</v>
      </c>
      <c r="E9" t="s">
        <v>35</v>
      </c>
    </row>
    <row r="10" spans="1:8" x14ac:dyDescent="0.3">
      <c r="A10">
        <v>109</v>
      </c>
      <c r="B10" t="s">
        <v>36</v>
      </c>
      <c r="C10" t="s">
        <v>37</v>
      </c>
      <c r="D10" t="s">
        <v>38</v>
      </c>
      <c r="E10" t="s">
        <v>39</v>
      </c>
      <c r="G10" s="2" t="s">
        <v>173</v>
      </c>
      <c r="H10" s="2"/>
    </row>
    <row r="11" spans="1:8" x14ac:dyDescent="0.3">
      <c r="A11">
        <v>110</v>
      </c>
      <c r="B11" t="s">
        <v>40</v>
      </c>
      <c r="C11" t="s">
        <v>41</v>
      </c>
      <c r="D11" t="s">
        <v>42</v>
      </c>
      <c r="E11" t="s">
        <v>43</v>
      </c>
    </row>
    <row r="12" spans="1:8" x14ac:dyDescent="0.3">
      <c r="A12">
        <v>111</v>
      </c>
      <c r="B12" t="s">
        <v>13</v>
      </c>
      <c r="C12" t="s">
        <v>44</v>
      </c>
      <c r="D12" t="s">
        <v>42</v>
      </c>
      <c r="E12" t="s">
        <v>45</v>
      </c>
      <c r="G12" s="3" t="s">
        <v>174</v>
      </c>
      <c r="H12" s="10" t="s">
        <v>65</v>
      </c>
    </row>
    <row r="13" spans="1:8" x14ac:dyDescent="0.3">
      <c r="A13">
        <v>112</v>
      </c>
      <c r="B13" t="s">
        <v>46</v>
      </c>
      <c r="C13" t="s">
        <v>47</v>
      </c>
      <c r="D13" t="s">
        <v>48</v>
      </c>
      <c r="E13" t="s">
        <v>49</v>
      </c>
      <c r="G13" s="3" t="s">
        <v>172</v>
      </c>
      <c r="H13" s="4">
        <f>_xlfn.XLOOKUP(H12,C1:C51,A1:A51,"Not Found",0,1)</f>
        <v>117</v>
      </c>
    </row>
    <row r="14" spans="1:8" x14ac:dyDescent="0.3">
      <c r="A14">
        <v>113</v>
      </c>
      <c r="B14" t="s">
        <v>50</v>
      </c>
      <c r="C14" t="s">
        <v>51</v>
      </c>
      <c r="D14" t="s">
        <v>42</v>
      </c>
      <c r="E14" t="s">
        <v>52</v>
      </c>
    </row>
    <row r="15" spans="1:8" x14ac:dyDescent="0.3">
      <c r="A15">
        <v>114</v>
      </c>
      <c r="B15" t="s">
        <v>53</v>
      </c>
      <c r="C15" t="s">
        <v>54</v>
      </c>
      <c r="D15" t="s">
        <v>48</v>
      </c>
      <c r="E15" t="s">
        <v>55</v>
      </c>
      <c r="G15" s="7" t="s">
        <v>175</v>
      </c>
      <c r="H15" s="5"/>
    </row>
    <row r="16" spans="1:8" x14ac:dyDescent="0.3">
      <c r="A16">
        <v>115</v>
      </c>
      <c r="B16" t="s">
        <v>56</v>
      </c>
      <c r="C16" t="s">
        <v>57</v>
      </c>
      <c r="D16" t="s">
        <v>58</v>
      </c>
      <c r="E16" t="s">
        <v>59</v>
      </c>
    </row>
    <row r="17" spans="1:8" x14ac:dyDescent="0.3">
      <c r="A17">
        <v>116</v>
      </c>
      <c r="B17" t="s">
        <v>60</v>
      </c>
      <c r="C17" t="s">
        <v>61</v>
      </c>
      <c r="D17" t="s">
        <v>62</v>
      </c>
      <c r="E17" t="s">
        <v>63</v>
      </c>
      <c r="G17" s="3" t="s">
        <v>172</v>
      </c>
      <c r="H17" s="18" t="s">
        <v>21</v>
      </c>
    </row>
    <row r="18" spans="1:8" x14ac:dyDescent="0.3">
      <c r="A18">
        <v>117</v>
      </c>
      <c r="B18" t="s">
        <v>64</v>
      </c>
      <c r="C18" s="10" t="s">
        <v>65</v>
      </c>
      <c r="D18" t="s">
        <v>11</v>
      </c>
      <c r="E18" t="s">
        <v>66</v>
      </c>
      <c r="G18" s="3" t="s">
        <v>3</v>
      </c>
      <c r="H18" s="4" t="str">
        <f>_xlfn.XLOOKUP(H17,B1:B51,D1:D51,"Not Found",0,1)</f>
        <v>Book Keeper</v>
      </c>
    </row>
    <row r="19" spans="1:8" x14ac:dyDescent="0.3">
      <c r="A19">
        <v>118</v>
      </c>
      <c r="B19" t="s">
        <v>67</v>
      </c>
      <c r="C19" t="s">
        <v>68</v>
      </c>
      <c r="D19" t="s">
        <v>69</v>
      </c>
      <c r="E19" t="s">
        <v>70</v>
      </c>
      <c r="G19" s="3" t="s">
        <v>4</v>
      </c>
      <c r="H19" s="4" t="str">
        <f>_xlfn.XLOOKUP(H17,B1:B51,E1:E51,"Not Found",0,1)</f>
        <v>$10,349.00</v>
      </c>
    </row>
    <row r="20" spans="1:8" x14ac:dyDescent="0.3">
      <c r="A20">
        <v>119</v>
      </c>
      <c r="B20" t="s">
        <v>71</v>
      </c>
      <c r="C20" t="s">
        <v>72</v>
      </c>
      <c r="D20" t="s">
        <v>73</v>
      </c>
      <c r="E20" t="s">
        <v>74</v>
      </c>
    </row>
    <row r="21" spans="1:8" x14ac:dyDescent="0.3">
      <c r="A21">
        <v>120</v>
      </c>
      <c r="B21" t="s">
        <v>75</v>
      </c>
      <c r="C21" t="s">
        <v>76</v>
      </c>
      <c r="D21" t="s">
        <v>11</v>
      </c>
      <c r="E21" t="s">
        <v>77</v>
      </c>
    </row>
    <row r="22" spans="1:8" x14ac:dyDescent="0.3">
      <c r="A22">
        <v>121</v>
      </c>
      <c r="B22" t="s">
        <v>78</v>
      </c>
      <c r="C22" t="s">
        <v>79</v>
      </c>
      <c r="D22" t="s">
        <v>69</v>
      </c>
      <c r="E22" t="s">
        <v>80</v>
      </c>
      <c r="G22" s="2" t="s">
        <v>176</v>
      </c>
      <c r="H22" s="2"/>
    </row>
    <row r="23" spans="1:8" x14ac:dyDescent="0.3">
      <c r="A23">
        <v>122</v>
      </c>
      <c r="B23" t="s">
        <v>81</v>
      </c>
      <c r="C23" t="s">
        <v>82</v>
      </c>
      <c r="D23" t="s">
        <v>48</v>
      </c>
      <c r="E23" t="s">
        <v>83</v>
      </c>
    </row>
    <row r="24" spans="1:8" x14ac:dyDescent="0.3">
      <c r="A24">
        <v>123</v>
      </c>
      <c r="B24" t="s">
        <v>84</v>
      </c>
      <c r="C24" t="s">
        <v>85</v>
      </c>
      <c r="D24" t="s">
        <v>62</v>
      </c>
      <c r="E24" t="s">
        <v>86</v>
      </c>
      <c r="G24" s="3" t="s">
        <v>174</v>
      </c>
      <c r="H24">
        <v>200</v>
      </c>
    </row>
    <row r="25" spans="1:8" x14ac:dyDescent="0.3">
      <c r="A25">
        <v>124</v>
      </c>
      <c r="B25" t="s">
        <v>87</v>
      </c>
      <c r="C25" t="s">
        <v>88</v>
      </c>
      <c r="D25" t="s">
        <v>58</v>
      </c>
      <c r="E25" t="s">
        <v>89</v>
      </c>
      <c r="G25" s="3" t="s">
        <v>172</v>
      </c>
      <c r="H25" s="4" t="str">
        <f>_xlfn.XLOOKUP(H24,A1:A51,B1:B51,"Not Found",0,1)</f>
        <v>Not Found</v>
      </c>
    </row>
    <row r="26" spans="1:8" x14ac:dyDescent="0.3">
      <c r="A26">
        <v>125</v>
      </c>
      <c r="B26" t="s">
        <v>90</v>
      </c>
      <c r="C26" t="s">
        <v>91</v>
      </c>
      <c r="D26" t="s">
        <v>7</v>
      </c>
      <c r="E26" t="s">
        <v>92</v>
      </c>
    </row>
    <row r="27" spans="1:8" x14ac:dyDescent="0.3">
      <c r="A27">
        <v>126</v>
      </c>
      <c r="B27" t="s">
        <v>40</v>
      </c>
      <c r="C27" t="s">
        <v>93</v>
      </c>
      <c r="D27" t="s">
        <v>19</v>
      </c>
      <c r="E27" t="s">
        <v>94</v>
      </c>
    </row>
    <row r="28" spans="1:8" x14ac:dyDescent="0.3">
      <c r="A28">
        <v>127</v>
      </c>
      <c r="B28" t="s">
        <v>95</v>
      </c>
      <c r="C28" t="s">
        <v>96</v>
      </c>
      <c r="D28" t="s">
        <v>42</v>
      </c>
      <c r="E28" t="s">
        <v>97</v>
      </c>
    </row>
    <row r="29" spans="1:8" x14ac:dyDescent="0.3">
      <c r="A29">
        <v>128</v>
      </c>
      <c r="B29" t="s">
        <v>98</v>
      </c>
      <c r="C29" t="s">
        <v>99</v>
      </c>
      <c r="D29" t="s">
        <v>100</v>
      </c>
      <c r="E29" t="s">
        <v>101</v>
      </c>
    </row>
    <row r="30" spans="1:8" x14ac:dyDescent="0.3">
      <c r="A30">
        <v>129</v>
      </c>
      <c r="B30" t="s">
        <v>102</v>
      </c>
      <c r="C30" t="s">
        <v>103</v>
      </c>
      <c r="D30" t="s">
        <v>73</v>
      </c>
      <c r="E30" t="s">
        <v>104</v>
      </c>
    </row>
    <row r="31" spans="1:8" x14ac:dyDescent="0.3">
      <c r="A31">
        <v>130</v>
      </c>
      <c r="B31" t="s">
        <v>40</v>
      </c>
      <c r="C31" t="s">
        <v>105</v>
      </c>
      <c r="D31" t="s">
        <v>106</v>
      </c>
      <c r="E31" t="s">
        <v>107</v>
      </c>
    </row>
    <row r="32" spans="1:8" x14ac:dyDescent="0.3">
      <c r="A32">
        <v>131</v>
      </c>
      <c r="B32" t="s">
        <v>108</v>
      </c>
      <c r="C32" t="s">
        <v>109</v>
      </c>
      <c r="D32" t="s">
        <v>19</v>
      </c>
      <c r="E32" t="s">
        <v>110</v>
      </c>
    </row>
    <row r="33" spans="1:5" x14ac:dyDescent="0.3">
      <c r="A33">
        <v>132</v>
      </c>
      <c r="B33" t="s">
        <v>111</v>
      </c>
      <c r="C33" t="s">
        <v>112</v>
      </c>
      <c r="D33" t="s">
        <v>73</v>
      </c>
      <c r="E33" t="s">
        <v>113</v>
      </c>
    </row>
    <row r="34" spans="1:5" x14ac:dyDescent="0.3">
      <c r="A34">
        <v>133</v>
      </c>
      <c r="B34" t="s">
        <v>114</v>
      </c>
      <c r="C34" t="s">
        <v>115</v>
      </c>
      <c r="D34" t="s">
        <v>116</v>
      </c>
      <c r="E34" t="s">
        <v>117</v>
      </c>
    </row>
    <row r="35" spans="1:5" x14ac:dyDescent="0.3">
      <c r="A35">
        <v>134</v>
      </c>
      <c r="B35" t="s">
        <v>118</v>
      </c>
      <c r="C35" t="s">
        <v>119</v>
      </c>
      <c r="D35" t="s">
        <v>116</v>
      </c>
      <c r="E35" t="s">
        <v>120</v>
      </c>
    </row>
    <row r="36" spans="1:5" x14ac:dyDescent="0.3">
      <c r="A36">
        <v>135</v>
      </c>
      <c r="B36" t="s">
        <v>121</v>
      </c>
      <c r="C36" t="s">
        <v>122</v>
      </c>
      <c r="D36" t="s">
        <v>116</v>
      </c>
      <c r="E36" t="s">
        <v>123</v>
      </c>
    </row>
    <row r="37" spans="1:5" x14ac:dyDescent="0.3">
      <c r="A37">
        <v>136</v>
      </c>
      <c r="B37" t="s">
        <v>124</v>
      </c>
      <c r="C37" t="s">
        <v>125</v>
      </c>
      <c r="D37" t="s">
        <v>15</v>
      </c>
      <c r="E37" t="s">
        <v>126</v>
      </c>
    </row>
    <row r="38" spans="1:5" x14ac:dyDescent="0.3">
      <c r="A38">
        <v>137</v>
      </c>
      <c r="B38" t="s">
        <v>127</v>
      </c>
      <c r="C38" t="s">
        <v>128</v>
      </c>
      <c r="D38" t="s">
        <v>129</v>
      </c>
      <c r="E38" t="s">
        <v>130</v>
      </c>
    </row>
    <row r="39" spans="1:5" x14ac:dyDescent="0.3">
      <c r="A39">
        <v>138</v>
      </c>
      <c r="B39" t="s">
        <v>131</v>
      </c>
      <c r="C39" t="s">
        <v>132</v>
      </c>
      <c r="D39" t="s">
        <v>34</v>
      </c>
      <c r="E39" t="s">
        <v>133</v>
      </c>
    </row>
    <row r="40" spans="1:5" x14ac:dyDescent="0.3">
      <c r="A40">
        <v>139</v>
      </c>
      <c r="B40" t="s">
        <v>134</v>
      </c>
      <c r="C40" t="s">
        <v>135</v>
      </c>
      <c r="D40" t="s">
        <v>23</v>
      </c>
      <c r="E40" t="s">
        <v>136</v>
      </c>
    </row>
    <row r="41" spans="1:5" x14ac:dyDescent="0.3">
      <c r="A41">
        <v>140</v>
      </c>
      <c r="B41" t="s">
        <v>137</v>
      </c>
      <c r="C41" t="s">
        <v>138</v>
      </c>
      <c r="D41" t="s">
        <v>58</v>
      </c>
      <c r="E41" t="s">
        <v>139</v>
      </c>
    </row>
    <row r="42" spans="1:5" x14ac:dyDescent="0.3">
      <c r="A42">
        <v>141</v>
      </c>
      <c r="B42" t="s">
        <v>140</v>
      </c>
      <c r="C42" t="s">
        <v>141</v>
      </c>
      <c r="D42" t="s">
        <v>129</v>
      </c>
      <c r="E42" t="s">
        <v>142</v>
      </c>
    </row>
    <row r="43" spans="1:5" x14ac:dyDescent="0.3">
      <c r="A43">
        <v>142</v>
      </c>
      <c r="B43" t="s">
        <v>143</v>
      </c>
      <c r="C43" t="s">
        <v>144</v>
      </c>
      <c r="D43" t="s">
        <v>27</v>
      </c>
      <c r="E43" t="s">
        <v>145</v>
      </c>
    </row>
    <row r="44" spans="1:5" x14ac:dyDescent="0.3">
      <c r="A44">
        <v>143</v>
      </c>
      <c r="B44" t="s">
        <v>146</v>
      </c>
      <c r="C44" t="s">
        <v>147</v>
      </c>
      <c r="D44" t="s">
        <v>11</v>
      </c>
      <c r="E44" t="s">
        <v>148</v>
      </c>
    </row>
    <row r="45" spans="1:5" x14ac:dyDescent="0.3">
      <c r="A45">
        <v>144</v>
      </c>
      <c r="B45" t="s">
        <v>149</v>
      </c>
      <c r="C45" t="s">
        <v>150</v>
      </c>
      <c r="D45" t="s">
        <v>42</v>
      </c>
      <c r="E45" t="s">
        <v>151</v>
      </c>
    </row>
    <row r="46" spans="1:5" x14ac:dyDescent="0.3">
      <c r="A46">
        <v>145</v>
      </c>
      <c r="B46" t="s">
        <v>152</v>
      </c>
      <c r="C46" t="s">
        <v>153</v>
      </c>
      <c r="D46" t="s">
        <v>48</v>
      </c>
      <c r="E46" t="s">
        <v>154</v>
      </c>
    </row>
    <row r="47" spans="1:5" x14ac:dyDescent="0.3">
      <c r="A47">
        <v>146</v>
      </c>
      <c r="B47" t="s">
        <v>155</v>
      </c>
      <c r="C47" t="s">
        <v>156</v>
      </c>
      <c r="D47" t="s">
        <v>73</v>
      </c>
      <c r="E47" t="s">
        <v>157</v>
      </c>
    </row>
    <row r="48" spans="1:5" x14ac:dyDescent="0.3">
      <c r="A48">
        <v>147</v>
      </c>
      <c r="B48" t="s">
        <v>158</v>
      </c>
      <c r="C48" t="s">
        <v>159</v>
      </c>
      <c r="D48" t="s">
        <v>160</v>
      </c>
      <c r="E48" t="s">
        <v>161</v>
      </c>
    </row>
    <row r="49" spans="1:5" x14ac:dyDescent="0.3">
      <c r="A49">
        <v>148</v>
      </c>
      <c r="B49" t="s">
        <v>162</v>
      </c>
      <c r="C49" t="s">
        <v>163</v>
      </c>
      <c r="D49" t="s">
        <v>23</v>
      </c>
      <c r="E49" t="s">
        <v>164</v>
      </c>
    </row>
    <row r="50" spans="1:5" x14ac:dyDescent="0.3">
      <c r="A50">
        <v>149</v>
      </c>
      <c r="B50" t="s">
        <v>165</v>
      </c>
      <c r="C50" t="s">
        <v>166</v>
      </c>
      <c r="D50" t="s">
        <v>129</v>
      </c>
      <c r="E50" t="s">
        <v>167</v>
      </c>
    </row>
    <row r="51" spans="1:5" x14ac:dyDescent="0.3">
      <c r="A51">
        <v>150</v>
      </c>
      <c r="B51" t="s">
        <v>168</v>
      </c>
      <c r="C51" t="s">
        <v>169</v>
      </c>
      <c r="D51" t="s">
        <v>58</v>
      </c>
      <c r="E51" t="s">
        <v>170</v>
      </c>
    </row>
  </sheetData>
  <hyperlinks>
    <hyperlink ref="C18" r:id="rId1" xr:uid="{91F05B9D-5782-498C-B0DE-A2351EE85EE4}"/>
    <hyperlink ref="H12" r:id="rId2" xr:uid="{11AFAC16-1EFC-4C6F-946E-1B9792F2230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892F3-AF83-4719-8FB8-2BC12E323E88}">
  <dimension ref="A1:I51"/>
  <sheetViews>
    <sheetView topLeftCell="H5" workbookViewId="0">
      <selection activeCell="I13" sqref="I13"/>
    </sheetView>
  </sheetViews>
  <sheetFormatPr defaultRowHeight="14.4" x14ac:dyDescent="0.3"/>
  <cols>
    <col min="2" max="2" width="11.5546875" bestFit="1" customWidth="1"/>
    <col min="8" max="8" width="18.44140625" customWidth="1"/>
    <col min="9" max="9" width="60.66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 x14ac:dyDescent="0.3">
      <c r="A2">
        <v>101</v>
      </c>
      <c r="B2" t="s">
        <v>5</v>
      </c>
      <c r="C2" t="s">
        <v>6</v>
      </c>
      <c r="D2" t="s">
        <v>7</v>
      </c>
      <c r="E2" t="s">
        <v>8</v>
      </c>
    </row>
    <row r="3" spans="1:9" x14ac:dyDescent="0.3">
      <c r="A3">
        <v>102</v>
      </c>
      <c r="B3" t="s">
        <v>9</v>
      </c>
      <c r="C3" t="s">
        <v>10</v>
      </c>
      <c r="D3" t="s">
        <v>11</v>
      </c>
      <c r="E3" t="s">
        <v>12</v>
      </c>
      <c r="H3" s="7" t="s">
        <v>199</v>
      </c>
      <c r="I3" s="5"/>
    </row>
    <row r="4" spans="1:9" x14ac:dyDescent="0.3">
      <c r="A4">
        <v>103</v>
      </c>
      <c r="B4" t="s">
        <v>13</v>
      </c>
      <c r="C4" t="s">
        <v>14</v>
      </c>
      <c r="D4" t="s">
        <v>15</v>
      </c>
      <c r="E4" t="s">
        <v>16</v>
      </c>
    </row>
    <row r="5" spans="1:9" x14ac:dyDescent="0.3">
      <c r="A5">
        <v>104</v>
      </c>
      <c r="B5" t="s">
        <v>17</v>
      </c>
      <c r="C5" t="s">
        <v>18</v>
      </c>
      <c r="D5" t="s">
        <v>19</v>
      </c>
      <c r="E5" t="s">
        <v>20</v>
      </c>
      <c r="H5" s="3" t="s">
        <v>172</v>
      </c>
      <c r="I5" t="s">
        <v>152</v>
      </c>
    </row>
    <row r="6" spans="1:9" x14ac:dyDescent="0.3">
      <c r="A6">
        <v>105</v>
      </c>
      <c r="B6" t="s">
        <v>21</v>
      </c>
      <c r="C6" t="s">
        <v>22</v>
      </c>
      <c r="D6" t="s">
        <v>23</v>
      </c>
      <c r="E6" t="s">
        <v>24</v>
      </c>
      <c r="H6" s="3" t="s">
        <v>200</v>
      </c>
      <c r="I6" s="4" t="str">
        <f>INDEX(A1:E51,MATCH(I5,B1:B51,0),5)</f>
        <v>$4,201.00</v>
      </c>
    </row>
    <row r="7" spans="1:9" x14ac:dyDescent="0.3">
      <c r="A7">
        <v>106</v>
      </c>
      <c r="B7" t="s">
        <v>25</v>
      </c>
      <c r="C7" t="s">
        <v>26</v>
      </c>
      <c r="D7" t="s">
        <v>27</v>
      </c>
      <c r="E7" t="s">
        <v>28</v>
      </c>
    </row>
    <row r="8" spans="1:9" x14ac:dyDescent="0.3">
      <c r="A8">
        <v>107</v>
      </c>
      <c r="B8" t="s">
        <v>29</v>
      </c>
      <c r="C8" t="s">
        <v>30</v>
      </c>
      <c r="D8" t="s">
        <v>23</v>
      </c>
      <c r="E8" t="s">
        <v>31</v>
      </c>
    </row>
    <row r="9" spans="1:9" x14ac:dyDescent="0.3">
      <c r="A9">
        <v>108</v>
      </c>
      <c r="B9" t="s">
        <v>32</v>
      </c>
      <c r="C9" t="s">
        <v>33</v>
      </c>
      <c r="D9" t="s">
        <v>34</v>
      </c>
      <c r="E9" t="s">
        <v>35</v>
      </c>
    </row>
    <row r="10" spans="1:9" ht="28.8" x14ac:dyDescent="0.3">
      <c r="A10">
        <v>109</v>
      </c>
      <c r="B10" t="s">
        <v>36</v>
      </c>
      <c r="C10" t="s">
        <v>37</v>
      </c>
      <c r="D10" t="s">
        <v>38</v>
      </c>
      <c r="E10" t="s">
        <v>39</v>
      </c>
      <c r="H10" s="8" t="s">
        <v>201</v>
      </c>
      <c r="I10" s="2"/>
    </row>
    <row r="11" spans="1:9" x14ac:dyDescent="0.3">
      <c r="A11">
        <v>110</v>
      </c>
      <c r="B11" t="s">
        <v>40</v>
      </c>
      <c r="C11" t="s">
        <v>41</v>
      </c>
      <c r="D11" t="s">
        <v>42</v>
      </c>
      <c r="E11" t="s">
        <v>43</v>
      </c>
    </row>
    <row r="12" spans="1:9" x14ac:dyDescent="0.3">
      <c r="A12">
        <v>111</v>
      </c>
      <c r="B12" t="s">
        <v>13</v>
      </c>
      <c r="C12" t="s">
        <v>44</v>
      </c>
      <c r="D12" t="s">
        <v>42</v>
      </c>
      <c r="E12" t="s">
        <v>45</v>
      </c>
      <c r="H12" s="3" t="s">
        <v>200</v>
      </c>
      <c r="I12" t="s">
        <v>45</v>
      </c>
    </row>
    <row r="13" spans="1:9" x14ac:dyDescent="0.3">
      <c r="A13">
        <v>112</v>
      </c>
      <c r="B13" t="s">
        <v>46</v>
      </c>
      <c r="C13" t="s">
        <v>47</v>
      </c>
      <c r="D13" t="s">
        <v>48</v>
      </c>
      <c r="E13" t="s">
        <v>49</v>
      </c>
      <c r="H13" s="3" t="s">
        <v>174</v>
      </c>
      <c r="I13" s="4"/>
    </row>
    <row r="14" spans="1:9" x14ac:dyDescent="0.3">
      <c r="A14">
        <v>113</v>
      </c>
      <c r="B14" t="s">
        <v>50</v>
      </c>
      <c r="C14" t="s">
        <v>51</v>
      </c>
      <c r="D14" t="s">
        <v>42</v>
      </c>
      <c r="E14" t="s">
        <v>52</v>
      </c>
    </row>
    <row r="15" spans="1:9" x14ac:dyDescent="0.3">
      <c r="A15">
        <v>114</v>
      </c>
      <c r="B15" t="s">
        <v>53</v>
      </c>
      <c r="C15" t="s">
        <v>54</v>
      </c>
      <c r="D15" t="s">
        <v>48</v>
      </c>
      <c r="E15" t="s">
        <v>55</v>
      </c>
    </row>
    <row r="16" spans="1:9" x14ac:dyDescent="0.3">
      <c r="A16">
        <v>115</v>
      </c>
      <c r="B16" t="s">
        <v>56</v>
      </c>
      <c r="C16" t="s">
        <v>57</v>
      </c>
      <c r="D16" t="s">
        <v>58</v>
      </c>
      <c r="E16" t="s">
        <v>59</v>
      </c>
      <c r="H16" s="2" t="s">
        <v>202</v>
      </c>
      <c r="I16" s="2"/>
    </row>
    <row r="17" spans="1:9" x14ac:dyDescent="0.3">
      <c r="A17">
        <v>116</v>
      </c>
      <c r="B17" t="s">
        <v>60</v>
      </c>
      <c r="C17" t="s">
        <v>61</v>
      </c>
      <c r="D17" t="s">
        <v>62</v>
      </c>
      <c r="E17" t="s">
        <v>63</v>
      </c>
    </row>
    <row r="18" spans="1:9" x14ac:dyDescent="0.3">
      <c r="A18">
        <v>117</v>
      </c>
      <c r="B18" t="s">
        <v>64</v>
      </c>
      <c r="C18" t="s">
        <v>65</v>
      </c>
      <c r="D18" t="s">
        <v>11</v>
      </c>
      <c r="E18" t="s">
        <v>66</v>
      </c>
      <c r="H18" s="3" t="s">
        <v>172</v>
      </c>
      <c r="I18" t="s">
        <v>203</v>
      </c>
    </row>
    <row r="19" spans="1:9" x14ac:dyDescent="0.3">
      <c r="A19">
        <v>118</v>
      </c>
      <c r="B19" t="s">
        <v>67</v>
      </c>
      <c r="C19" t="s">
        <v>68</v>
      </c>
      <c r="D19" t="s">
        <v>69</v>
      </c>
      <c r="E19" t="s">
        <v>70</v>
      </c>
      <c r="H19" s="3" t="s">
        <v>2</v>
      </c>
      <c r="I19" s="4" t="s">
        <v>204</v>
      </c>
    </row>
    <row r="20" spans="1:9" x14ac:dyDescent="0.3">
      <c r="A20">
        <v>119</v>
      </c>
      <c r="B20" t="s">
        <v>71</v>
      </c>
      <c r="C20" t="s">
        <v>72</v>
      </c>
      <c r="D20" t="s">
        <v>73</v>
      </c>
      <c r="E20" t="s">
        <v>74</v>
      </c>
    </row>
    <row r="21" spans="1:9" x14ac:dyDescent="0.3">
      <c r="A21">
        <v>120</v>
      </c>
      <c r="B21" t="s">
        <v>75</v>
      </c>
      <c r="C21" t="s">
        <v>76</v>
      </c>
      <c r="D21" t="s">
        <v>11</v>
      </c>
      <c r="E21" t="s">
        <v>77</v>
      </c>
    </row>
    <row r="22" spans="1:9" x14ac:dyDescent="0.3">
      <c r="A22">
        <v>121</v>
      </c>
      <c r="B22" t="s">
        <v>78</v>
      </c>
      <c r="C22" t="s">
        <v>79</v>
      </c>
      <c r="D22" t="s">
        <v>69</v>
      </c>
      <c r="E22" t="s">
        <v>80</v>
      </c>
    </row>
    <row r="23" spans="1:9" x14ac:dyDescent="0.3">
      <c r="A23">
        <v>122</v>
      </c>
      <c r="B23" t="s">
        <v>81</v>
      </c>
      <c r="C23" t="s">
        <v>82</v>
      </c>
      <c r="D23" t="s">
        <v>48</v>
      </c>
      <c r="E23" t="s">
        <v>83</v>
      </c>
    </row>
    <row r="24" spans="1:9" x14ac:dyDescent="0.3">
      <c r="A24">
        <v>123</v>
      </c>
      <c r="B24" t="s">
        <v>84</v>
      </c>
      <c r="C24" t="s">
        <v>85</v>
      </c>
      <c r="D24" t="s">
        <v>62</v>
      </c>
      <c r="E24" t="s">
        <v>86</v>
      </c>
    </row>
    <row r="25" spans="1:9" x14ac:dyDescent="0.3">
      <c r="A25">
        <v>124</v>
      </c>
      <c r="B25" t="s">
        <v>87</v>
      </c>
      <c r="C25" t="s">
        <v>88</v>
      </c>
      <c r="D25" t="s">
        <v>58</v>
      </c>
      <c r="E25" t="s">
        <v>89</v>
      </c>
    </row>
    <row r="26" spans="1:9" x14ac:dyDescent="0.3">
      <c r="A26">
        <v>125</v>
      </c>
      <c r="B26" t="s">
        <v>90</v>
      </c>
      <c r="C26" t="s">
        <v>91</v>
      </c>
      <c r="D26" t="s">
        <v>7</v>
      </c>
      <c r="E26" t="s">
        <v>92</v>
      </c>
    </row>
    <row r="27" spans="1:9" x14ac:dyDescent="0.3">
      <c r="A27">
        <v>126</v>
      </c>
      <c r="B27" t="s">
        <v>40</v>
      </c>
      <c r="C27" t="s">
        <v>93</v>
      </c>
      <c r="D27" t="s">
        <v>19</v>
      </c>
      <c r="E27" t="s">
        <v>94</v>
      </c>
    </row>
    <row r="28" spans="1:9" x14ac:dyDescent="0.3">
      <c r="A28">
        <v>127</v>
      </c>
      <c r="B28" t="s">
        <v>95</v>
      </c>
      <c r="C28" t="s">
        <v>96</v>
      </c>
      <c r="D28" t="s">
        <v>42</v>
      </c>
      <c r="E28" t="s">
        <v>97</v>
      </c>
    </row>
    <row r="29" spans="1:9" x14ac:dyDescent="0.3">
      <c r="A29">
        <v>128</v>
      </c>
      <c r="B29" t="s">
        <v>98</v>
      </c>
      <c r="C29" t="s">
        <v>99</v>
      </c>
      <c r="D29" t="s">
        <v>100</v>
      </c>
      <c r="E29" t="s">
        <v>101</v>
      </c>
    </row>
    <row r="30" spans="1:9" x14ac:dyDescent="0.3">
      <c r="A30">
        <v>129</v>
      </c>
      <c r="B30" t="s">
        <v>102</v>
      </c>
      <c r="C30" t="s">
        <v>103</v>
      </c>
      <c r="D30" t="s">
        <v>73</v>
      </c>
      <c r="E30" t="s">
        <v>104</v>
      </c>
    </row>
    <row r="31" spans="1:9" x14ac:dyDescent="0.3">
      <c r="A31">
        <v>130</v>
      </c>
      <c r="B31" t="s">
        <v>40</v>
      </c>
      <c r="C31" t="s">
        <v>105</v>
      </c>
      <c r="D31" t="s">
        <v>106</v>
      </c>
      <c r="E31" t="s">
        <v>107</v>
      </c>
    </row>
    <row r="32" spans="1:9" x14ac:dyDescent="0.3">
      <c r="A32">
        <v>131</v>
      </c>
      <c r="B32" t="s">
        <v>108</v>
      </c>
      <c r="C32" t="s">
        <v>109</v>
      </c>
      <c r="D32" t="s">
        <v>19</v>
      </c>
      <c r="E32" t="s">
        <v>110</v>
      </c>
    </row>
    <row r="33" spans="1:5" x14ac:dyDescent="0.3">
      <c r="A33">
        <v>132</v>
      </c>
      <c r="B33" t="s">
        <v>111</v>
      </c>
      <c r="C33" t="s">
        <v>112</v>
      </c>
      <c r="D33" t="s">
        <v>73</v>
      </c>
      <c r="E33" t="s">
        <v>113</v>
      </c>
    </row>
    <row r="34" spans="1:5" x14ac:dyDescent="0.3">
      <c r="A34">
        <v>133</v>
      </c>
      <c r="B34" t="s">
        <v>114</v>
      </c>
      <c r="C34" t="s">
        <v>115</v>
      </c>
      <c r="D34" t="s">
        <v>116</v>
      </c>
      <c r="E34" t="s">
        <v>117</v>
      </c>
    </row>
    <row r="35" spans="1:5" x14ac:dyDescent="0.3">
      <c r="A35">
        <v>134</v>
      </c>
      <c r="B35" t="s">
        <v>118</v>
      </c>
      <c r="C35" t="s">
        <v>119</v>
      </c>
      <c r="D35" t="s">
        <v>116</v>
      </c>
      <c r="E35" t="s">
        <v>120</v>
      </c>
    </row>
    <row r="36" spans="1:5" x14ac:dyDescent="0.3">
      <c r="A36">
        <v>135</v>
      </c>
      <c r="B36" t="s">
        <v>121</v>
      </c>
      <c r="C36" t="s">
        <v>122</v>
      </c>
      <c r="D36" t="s">
        <v>116</v>
      </c>
      <c r="E36" t="s">
        <v>123</v>
      </c>
    </row>
    <row r="37" spans="1:5" x14ac:dyDescent="0.3">
      <c r="A37">
        <v>136</v>
      </c>
      <c r="B37" t="s">
        <v>124</v>
      </c>
      <c r="C37" t="s">
        <v>125</v>
      </c>
      <c r="D37" t="s">
        <v>15</v>
      </c>
      <c r="E37" t="s">
        <v>126</v>
      </c>
    </row>
    <row r="38" spans="1:5" x14ac:dyDescent="0.3">
      <c r="A38">
        <v>137</v>
      </c>
      <c r="B38" t="s">
        <v>127</v>
      </c>
      <c r="C38" t="s">
        <v>128</v>
      </c>
      <c r="D38" t="s">
        <v>129</v>
      </c>
      <c r="E38" t="s">
        <v>130</v>
      </c>
    </row>
    <row r="39" spans="1:5" x14ac:dyDescent="0.3">
      <c r="A39">
        <v>138</v>
      </c>
      <c r="B39" t="s">
        <v>131</v>
      </c>
      <c r="C39" t="s">
        <v>132</v>
      </c>
      <c r="D39" t="s">
        <v>34</v>
      </c>
      <c r="E39" t="s">
        <v>133</v>
      </c>
    </row>
    <row r="40" spans="1:5" x14ac:dyDescent="0.3">
      <c r="A40">
        <v>139</v>
      </c>
      <c r="B40" t="s">
        <v>134</v>
      </c>
      <c r="C40" t="s">
        <v>135</v>
      </c>
      <c r="D40" t="s">
        <v>23</v>
      </c>
      <c r="E40" t="s">
        <v>136</v>
      </c>
    </row>
    <row r="41" spans="1:5" x14ac:dyDescent="0.3">
      <c r="A41">
        <v>140</v>
      </c>
      <c r="B41" t="s">
        <v>137</v>
      </c>
      <c r="C41" t="s">
        <v>138</v>
      </c>
      <c r="D41" t="s">
        <v>58</v>
      </c>
      <c r="E41" t="s">
        <v>139</v>
      </c>
    </row>
    <row r="42" spans="1:5" x14ac:dyDescent="0.3">
      <c r="A42">
        <v>141</v>
      </c>
      <c r="B42" t="s">
        <v>140</v>
      </c>
      <c r="C42" t="s">
        <v>141</v>
      </c>
      <c r="D42" t="s">
        <v>129</v>
      </c>
      <c r="E42" t="s">
        <v>142</v>
      </c>
    </row>
    <row r="43" spans="1:5" x14ac:dyDescent="0.3">
      <c r="A43">
        <v>142</v>
      </c>
      <c r="B43" t="s">
        <v>143</v>
      </c>
      <c r="C43" t="s">
        <v>144</v>
      </c>
      <c r="D43" t="s">
        <v>27</v>
      </c>
      <c r="E43" t="s">
        <v>145</v>
      </c>
    </row>
    <row r="44" spans="1:5" x14ac:dyDescent="0.3">
      <c r="A44">
        <v>143</v>
      </c>
      <c r="B44" t="s">
        <v>146</v>
      </c>
      <c r="C44" t="s">
        <v>147</v>
      </c>
      <c r="D44" t="s">
        <v>11</v>
      </c>
      <c r="E44" t="s">
        <v>148</v>
      </c>
    </row>
    <row r="45" spans="1:5" x14ac:dyDescent="0.3">
      <c r="A45">
        <v>144</v>
      </c>
      <c r="B45" t="s">
        <v>149</v>
      </c>
      <c r="C45" t="s">
        <v>150</v>
      </c>
      <c r="D45" t="s">
        <v>42</v>
      </c>
      <c r="E45" t="s">
        <v>151</v>
      </c>
    </row>
    <row r="46" spans="1:5" x14ac:dyDescent="0.3">
      <c r="A46">
        <v>145</v>
      </c>
      <c r="B46" t="s">
        <v>152</v>
      </c>
      <c r="C46" t="s">
        <v>153</v>
      </c>
      <c r="D46" t="s">
        <v>48</v>
      </c>
      <c r="E46" t="s">
        <v>154</v>
      </c>
    </row>
    <row r="47" spans="1:5" x14ac:dyDescent="0.3">
      <c r="A47">
        <v>146</v>
      </c>
      <c r="B47" t="s">
        <v>155</v>
      </c>
      <c r="C47" t="s">
        <v>156</v>
      </c>
      <c r="D47" t="s">
        <v>73</v>
      </c>
      <c r="E47" t="s">
        <v>157</v>
      </c>
    </row>
    <row r="48" spans="1:5" x14ac:dyDescent="0.3">
      <c r="A48">
        <v>147</v>
      </c>
      <c r="B48" t="s">
        <v>158</v>
      </c>
      <c r="C48" t="s">
        <v>159</v>
      </c>
      <c r="D48" t="s">
        <v>160</v>
      </c>
      <c r="E48" t="s">
        <v>161</v>
      </c>
    </row>
    <row r="49" spans="1:5" x14ac:dyDescent="0.3">
      <c r="A49">
        <v>148</v>
      </c>
      <c r="B49" t="s">
        <v>162</v>
      </c>
      <c r="C49" t="s">
        <v>163</v>
      </c>
      <c r="D49" t="s">
        <v>23</v>
      </c>
      <c r="E49" t="s">
        <v>164</v>
      </c>
    </row>
    <row r="50" spans="1:5" x14ac:dyDescent="0.3">
      <c r="A50">
        <v>149</v>
      </c>
      <c r="B50" t="s">
        <v>165</v>
      </c>
      <c r="C50" t="s">
        <v>166</v>
      </c>
      <c r="D50" t="s">
        <v>129</v>
      </c>
      <c r="E50" t="s">
        <v>167</v>
      </c>
    </row>
    <row r="51" spans="1:5" x14ac:dyDescent="0.3">
      <c r="A51">
        <v>150</v>
      </c>
      <c r="B51" t="s">
        <v>168</v>
      </c>
      <c r="C51" t="s">
        <v>169</v>
      </c>
      <c r="D51" t="s">
        <v>58</v>
      </c>
      <c r="E51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Sheet2</vt:lpstr>
      <vt:lpstr>vlookup</vt:lpstr>
      <vt:lpstr>hlookup</vt:lpstr>
      <vt:lpstr>lookup</vt:lpstr>
      <vt:lpstr>Xlookup</vt:lpstr>
      <vt:lpstr>index-match</vt:lpstr>
      <vt:lpstr>Oursearch</vt:lpstr>
      <vt:lpstr>Oursearch2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Mukesh Udatha</cp:lastModifiedBy>
  <cp:revision/>
  <dcterms:created xsi:type="dcterms:W3CDTF">2025-10-15T13:19:10Z</dcterms:created>
  <dcterms:modified xsi:type="dcterms:W3CDTF">2025-10-15T17:12:36Z</dcterms:modified>
  <cp:category/>
  <cp:contentStatus/>
</cp:coreProperties>
</file>