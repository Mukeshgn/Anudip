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3c4d462bdfa5285/Desktop/learning/Excel/"/>
    </mc:Choice>
  </mc:AlternateContent>
  <xr:revisionPtr revIDLastSave="1" documentId="8_{A83E79BC-DB53-4404-BD90-05392D0AFA7D}" xr6:coauthVersionLast="47" xr6:coauthVersionMax="47" xr10:uidLastSave="{B435D98F-AD7E-4520-9B99-E488CF134429}"/>
  <bookViews>
    <workbookView xWindow="0" yWindow="0" windowWidth="23040" windowHeight="12240" firstSheet="2" activeTab="3" xr2:uid="{00000000-000D-0000-FFFF-FFFF00000000}"/>
  </bookViews>
  <sheets>
    <sheet name="Add" sheetId="1" r:id="rId1"/>
    <sheet name="fill" sheetId="2" r:id="rId2"/>
    <sheet name="Split" sheetId="3" r:id="rId3"/>
    <sheet name="Transpos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4" l="1" a="1"/>
  <c r="C18" i="4"/>
  <c r="I24" i="3"/>
  <c r="H24" i="3"/>
  <c r="G24" i="3"/>
  <c r="F24" i="3"/>
  <c r="I25" i="3"/>
  <c r="I26" i="3"/>
  <c r="I27" i="3"/>
  <c r="I28" i="3"/>
  <c r="H25" i="3"/>
  <c r="H26" i="3"/>
  <c r="H27" i="3"/>
  <c r="H28" i="3"/>
  <c r="G25" i="3"/>
  <c r="G26" i="3"/>
  <c r="G27" i="3"/>
  <c r="G28" i="3"/>
  <c r="F25" i="3"/>
  <c r="F26" i="3"/>
  <c r="F27" i="3"/>
  <c r="F28" i="3"/>
  <c r="J16" i="2"/>
  <c r="K16" i="2"/>
  <c r="L16" i="2"/>
  <c r="M16" i="2"/>
  <c r="I16" i="2"/>
  <c r="K15" i="2"/>
  <c r="M15" i="2" s="1"/>
  <c r="K14" i="2"/>
  <c r="M14" i="2" s="1"/>
  <c r="K13" i="2"/>
  <c r="M13" i="2" s="1"/>
  <c r="K12" i="2"/>
  <c r="M12" i="2" s="1"/>
  <c r="K8" i="2"/>
  <c r="M8" i="2" s="1"/>
  <c r="K7" i="2"/>
  <c r="M7" i="2" s="1"/>
  <c r="K6" i="2"/>
  <c r="M6" i="2" s="1"/>
  <c r="K5" i="2"/>
  <c r="M5" i="2" s="1"/>
  <c r="E15" i="2"/>
  <c r="G15" i="2" s="1"/>
  <c r="E14" i="2"/>
  <c r="G14" i="2" s="1"/>
  <c r="E13" i="2"/>
  <c r="G13" i="2" s="1"/>
  <c r="E12" i="2"/>
  <c r="G12" i="2" s="1"/>
  <c r="G5" i="2"/>
  <c r="E5" i="2"/>
  <c r="E16" i="1"/>
  <c r="B16" i="1"/>
  <c r="E8" i="1"/>
  <c r="B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<sst xmlns="http://schemas.openxmlformats.org/spreadsheetml/2006/main" count="127" uniqueCount="91">
  <si>
    <t xml:space="preserve"> </t>
  </si>
  <si>
    <t xml:space="preserve">Fruits </t>
  </si>
  <si>
    <t>Amount</t>
  </si>
  <si>
    <t>Meet</t>
  </si>
  <si>
    <t>Apples</t>
  </si>
  <si>
    <t>Beef</t>
  </si>
  <si>
    <t>Oranges</t>
  </si>
  <si>
    <t>Chicken</t>
  </si>
  <si>
    <t>Bananas</t>
  </si>
  <si>
    <t>Pork</t>
  </si>
  <si>
    <t>Lemons</t>
  </si>
  <si>
    <t>Fish</t>
  </si>
  <si>
    <t>Item</t>
  </si>
  <si>
    <t>Bread</t>
  </si>
  <si>
    <t>Donuts</t>
  </si>
  <si>
    <t>Cookies</t>
  </si>
  <si>
    <t>Cakes</t>
  </si>
  <si>
    <t>Pics</t>
  </si>
  <si>
    <t>Pies</t>
  </si>
  <si>
    <t>This</t>
  </si>
  <si>
    <t>Plus this</t>
  </si>
  <si>
    <t>Equals</t>
  </si>
  <si>
    <t>Equals:</t>
  </si>
  <si>
    <t>1) split using flash fill (data&gt;data tools&gt;flash fill)</t>
  </si>
  <si>
    <t>Name</t>
  </si>
  <si>
    <t>Email</t>
  </si>
  <si>
    <t>First name</t>
  </si>
  <si>
    <t>Last name</t>
  </si>
  <si>
    <t>John Doe</t>
  </si>
  <si>
    <t>john.doe@example.com</t>
  </si>
  <si>
    <t>john</t>
  </si>
  <si>
    <t>doe</t>
  </si>
  <si>
    <t>Jane Smith</t>
  </si>
  <si>
    <t>jane.smith@example.com</t>
  </si>
  <si>
    <t>jane</t>
  </si>
  <si>
    <t>smith</t>
  </si>
  <si>
    <t>Robert Brown</t>
  </si>
  <si>
    <t>robert.brown@example.com</t>
  </si>
  <si>
    <t>robert</t>
  </si>
  <si>
    <t>brown</t>
  </si>
  <si>
    <t>Emily Davis</t>
  </si>
  <si>
    <t>emily.davis@example.com</t>
  </si>
  <si>
    <t>emily</t>
  </si>
  <si>
    <t>davis</t>
  </si>
  <si>
    <t>Michael Johnson</t>
  </si>
  <si>
    <t>michael.johnson@example.com</t>
  </si>
  <si>
    <t>michael</t>
  </si>
  <si>
    <t>johnson</t>
  </si>
  <si>
    <t>2) data&gt;data tools&gt;split text to columns&gt; comma</t>
  </si>
  <si>
    <t>Last Name</t>
  </si>
  <si>
    <t>Company</t>
  </si>
  <si>
    <t>John,Doe,ABC Corp</t>
  </si>
  <si>
    <t>John</t>
  </si>
  <si>
    <t>Doe</t>
  </si>
  <si>
    <t>ABC Corp</t>
  </si>
  <si>
    <t>Jane,Smith,XYZ Ltd</t>
  </si>
  <si>
    <t>Jane</t>
  </si>
  <si>
    <t>Smith</t>
  </si>
  <si>
    <t>XYZ Ltd</t>
  </si>
  <si>
    <t>Robert,Brown,Tech Solutions</t>
  </si>
  <si>
    <t>Robert</t>
  </si>
  <si>
    <t>Brown</t>
  </si>
  <si>
    <t>Tech Solutions</t>
  </si>
  <si>
    <t>Emily,Davis,Creative Minds</t>
  </si>
  <si>
    <t>Emily</t>
  </si>
  <si>
    <t>Davis</t>
  </si>
  <si>
    <t>Creative Minds</t>
  </si>
  <si>
    <t>Michael,Johnson,Global Tech</t>
  </si>
  <si>
    <t>Michael</t>
  </si>
  <si>
    <t>Johnson</t>
  </si>
  <si>
    <t>Global Tech</t>
  </si>
  <si>
    <t>3) using formulae</t>
  </si>
  <si>
    <t>Sentence ID</t>
  </si>
  <si>
    <t>Sentence</t>
  </si>
  <si>
    <t>Delimiter (,)    -&gt;    =LEFT(E24,FIND(",",E24)-1)</t>
  </si>
  <si>
    <t>Delimiter (,) -&gt; =MID(E24,FIND(",",E24)+1,FIND("@",E24)-FIND(",",E24)-1)</t>
  </si>
  <si>
    <t>Delimiter (,) -&gt; =MID(E24,FIND("@",E24)+1,FIND("$",E24)-FIND("@",E24)-1)</t>
  </si>
  <si>
    <t>Delimiter (,) -&gt; =RIGHT(E24,LEN(E24)-FIND("$",E24))</t>
  </si>
  <si>
    <t>She said, "Please send the invoice to john.doe@company.com for $250."</t>
  </si>
  <si>
    <t>"Remember," he warned, "the payment of $100 must go to jane_smith@service.org today."</t>
  </si>
  <si>
    <t>The manager announced, "All reimbursements, like $75, will be sent to hr@office.com."</t>
  </si>
  <si>
    <t>"Check your email," she said, "mike89@finance.net received $500 yesterday."</t>
  </si>
  <si>
    <t>He whispered, "The bonus of $200 will be credited to lucy@workplace.com soon."</t>
  </si>
  <si>
    <t>1) select table&gt;copy&gt;click empty cell&gt; home&gt;paste&gt;paste special&gt; transpose rows and coulmn</t>
  </si>
  <si>
    <t>Laptop</t>
  </si>
  <si>
    <t>Headphones</t>
  </si>
  <si>
    <t>Office Chair</t>
  </si>
  <si>
    <t>Wireless Mouse</t>
  </si>
  <si>
    <t>External Hard Drive</t>
  </si>
  <si>
    <t>2) Formula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</si>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</sst>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480060</xdr:colOff>
      <xdr:row>2</xdr:row>
      <xdr:rowOff>160020</xdr:rowOff>
    </xdr:from>
    <xdr:to>
      <xdr:col>11</xdr:col>
      <xdr:colOff>4254</xdr:colOff>
      <xdr:row>13</xdr:row>
      <xdr:rowOff>72659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4E86B0-FDFE-5EAD-DA17-6CDC2D000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8060" y="525780"/>
          <a:ext cx="3181794" cy="1924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</xdr:colOff>
      <xdr:row>1</xdr:row>
      <xdr:rowOff>7620</xdr:rowOff>
    </xdr:from>
    <xdr:to>
      <xdr:col>1</xdr:col>
      <xdr:colOff>2823659</xdr:colOff>
      <xdr:row>14</xdr:row>
      <xdr:rowOff>97499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EF9045-C428-EFBE-FBBE-FEBDA52DD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" y="190500"/>
          <a:ext cx="3219899" cy="24673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114299</xdr:rowOff>
    </xdr:from>
    <xdr:to>
      <xdr:col>2</xdr:col>
      <xdr:colOff>12611</xdr:colOff>
      <xdr:row>16</xdr:row>
      <xdr:rowOff>31270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BF2E97F-54CA-E7C0-F12A-B329F88FE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14299"/>
          <a:ext cx="4784636" cy="33650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4562475</xdr:colOff>
      <xdr:row>17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9DC942-EBE9-B508-4365-EC5795DA2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62475" cy="365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ike89@finance.net" TargetMode="External"/><Relationship Id="rId2" Type="http://schemas.openxmlformats.org/officeDocument/2006/relationships/hyperlink" Target="mailto:hr@office.com" TargetMode="External"/><Relationship Id="rId1" Type="http://schemas.openxmlformats.org/officeDocument/2006/relationships/hyperlink" Target="mailto:jane_smith@service.org" TargetMode="External"/><Relationship Id="rId6" Type="http://schemas.openxmlformats.org/officeDocument/2006/relationships/drawing" Target="../drawings/drawing3.xml"/><Relationship Id="rId5" Type="http://schemas.openxmlformats.org/officeDocument/2006/relationships/hyperlink" Target="mailto:john.doe@company.com" TargetMode="External"/><Relationship Id="rId4" Type="http://schemas.openxmlformats.org/officeDocument/2006/relationships/hyperlink" Target="mailto:lucy@workplac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opLeftCell="A2" workbookViewId="0">
      <selection activeCell="I17" sqref="I17"/>
    </sheetView>
  </sheetViews>
  <sheetFormatPr defaultRowHeight="14.4" x14ac:dyDescent="0.3"/>
  <sheetData>
    <row r="1" spans="1:5" x14ac:dyDescent="0.3">
      <c r="A1" t="s">
        <v>0</v>
      </c>
    </row>
    <row r="3" spans="1:5" x14ac:dyDescent="0.3">
      <c r="A3" t="s">
        <v>1</v>
      </c>
      <c r="B3" t="s">
        <v>2</v>
      </c>
      <c r="D3" t="s">
        <v>3</v>
      </c>
      <c r="E3" t="s">
        <v>2</v>
      </c>
    </row>
    <row r="4" spans="1:5" x14ac:dyDescent="0.3">
      <c r="A4" t="s">
        <v>4</v>
      </c>
      <c r="B4">
        <v>50</v>
      </c>
      <c r="D4" t="s">
        <v>5</v>
      </c>
      <c r="E4">
        <v>50</v>
      </c>
    </row>
    <row r="5" spans="1:5" x14ac:dyDescent="0.3">
      <c r="A5" t="s">
        <v>6</v>
      </c>
      <c r="B5">
        <v>20</v>
      </c>
      <c r="D5" t="s">
        <v>7</v>
      </c>
      <c r="E5">
        <v>30</v>
      </c>
    </row>
    <row r="6" spans="1:5" x14ac:dyDescent="0.3">
      <c r="A6" t="s">
        <v>8</v>
      </c>
      <c r="B6">
        <v>60</v>
      </c>
      <c r="D6" t="s">
        <v>9</v>
      </c>
      <c r="E6">
        <v>10</v>
      </c>
    </row>
    <row r="7" spans="1:5" x14ac:dyDescent="0.3">
      <c r="A7" t="s">
        <v>10</v>
      </c>
      <c r="B7">
        <v>40</v>
      </c>
      <c r="D7" t="s">
        <v>11</v>
      </c>
      <c r="E7">
        <v>50</v>
      </c>
    </row>
    <row r="8" spans="1:5" x14ac:dyDescent="0.3">
      <c r="B8">
        <f>SUM(B4:B7)</f>
        <v>170</v>
      </c>
      <c r="E8">
        <f>SUM(E4:E7)</f>
        <v>140</v>
      </c>
    </row>
    <row r="10" spans="1:5" x14ac:dyDescent="0.3">
      <c r="A10" t="s">
        <v>12</v>
      </c>
      <c r="B10" t="s">
        <v>2</v>
      </c>
      <c r="D10" t="s">
        <v>12</v>
      </c>
      <c r="E10" t="s">
        <v>2</v>
      </c>
    </row>
    <row r="11" spans="1:5" x14ac:dyDescent="0.3">
      <c r="A11" t="s">
        <v>13</v>
      </c>
      <c r="B11">
        <v>50</v>
      </c>
      <c r="D11" t="s">
        <v>13</v>
      </c>
      <c r="E11">
        <v>50</v>
      </c>
    </row>
    <row r="12" spans="1:5" x14ac:dyDescent="0.3">
      <c r="A12" t="s">
        <v>14</v>
      </c>
      <c r="B12">
        <v>100</v>
      </c>
      <c r="D12" t="s">
        <v>14</v>
      </c>
      <c r="E12">
        <v>100</v>
      </c>
    </row>
    <row r="13" spans="1:5" x14ac:dyDescent="0.3">
      <c r="A13" t="s">
        <v>15</v>
      </c>
      <c r="B13">
        <v>40</v>
      </c>
      <c r="D13" t="s">
        <v>15</v>
      </c>
      <c r="E13">
        <v>40</v>
      </c>
    </row>
    <row r="14" spans="1:5" x14ac:dyDescent="0.3">
      <c r="A14" t="s">
        <v>16</v>
      </c>
      <c r="B14">
        <v>50</v>
      </c>
      <c r="D14" t="s">
        <v>16</v>
      </c>
      <c r="E14">
        <v>50</v>
      </c>
    </row>
    <row r="15" spans="1:5" x14ac:dyDescent="0.3">
      <c r="A15" t="s">
        <v>17</v>
      </c>
      <c r="B15">
        <v>20</v>
      </c>
      <c r="D15" t="s">
        <v>18</v>
      </c>
      <c r="E15">
        <v>20</v>
      </c>
    </row>
    <row r="16" spans="1:5" x14ac:dyDescent="0.3">
      <c r="B16">
        <f>SUMIF(B11:B15,"&gt;50")</f>
        <v>100</v>
      </c>
      <c r="E16">
        <f>SUMIF(E11:E15,"&lt;100")</f>
        <v>160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0F10-A831-48BC-94B1-D0620FA3A2A6}">
  <dimension ref="A1:M16"/>
  <sheetViews>
    <sheetView topLeftCell="H3" zoomScale="210" workbookViewId="0">
      <selection activeCell="R9" sqref="R9"/>
    </sheetView>
  </sheetViews>
  <sheetFormatPr defaultRowHeight="14.4" x14ac:dyDescent="0.3"/>
  <cols>
    <col min="1" max="1" width="8.88671875" customWidth="1"/>
    <col min="2" max="2" width="46.6640625" customWidth="1"/>
  </cols>
  <sheetData>
    <row r="1" spans="1:13" x14ac:dyDescent="0.3">
      <c r="A1" s="9" t="s">
        <v>0</v>
      </c>
      <c r="B1" s="9"/>
      <c r="C1" s="1"/>
      <c r="D1" s="1"/>
      <c r="E1" s="1"/>
      <c r="F1" s="1"/>
    </row>
    <row r="2" spans="1:13" x14ac:dyDescent="0.3">
      <c r="A2" s="9"/>
      <c r="B2" s="9"/>
      <c r="C2" s="1"/>
      <c r="D2" s="1"/>
      <c r="E2" s="1"/>
      <c r="F2" s="1"/>
    </row>
    <row r="3" spans="1:13" x14ac:dyDescent="0.3">
      <c r="A3" s="9"/>
      <c r="B3" s="9"/>
      <c r="C3" s="1"/>
      <c r="D3" s="1"/>
      <c r="E3" s="1"/>
      <c r="F3" s="1"/>
    </row>
    <row r="4" spans="1:13" x14ac:dyDescent="0.3">
      <c r="A4" s="9"/>
      <c r="B4" s="9"/>
      <c r="C4" s="1" t="s">
        <v>19</v>
      </c>
      <c r="D4" s="1" t="s">
        <v>20</v>
      </c>
      <c r="E4" s="1" t="s">
        <v>21</v>
      </c>
      <c r="F4" s="1" t="s">
        <v>20</v>
      </c>
      <c r="G4" s="1" t="s">
        <v>22</v>
      </c>
      <c r="I4" s="1" t="s">
        <v>19</v>
      </c>
      <c r="J4" s="1" t="s">
        <v>20</v>
      </c>
      <c r="K4" s="1" t="s">
        <v>21</v>
      </c>
      <c r="L4" s="1" t="s">
        <v>20</v>
      </c>
      <c r="M4" s="1" t="s">
        <v>22</v>
      </c>
    </row>
    <row r="5" spans="1:13" x14ac:dyDescent="0.3">
      <c r="A5" s="9"/>
      <c r="B5" s="9"/>
      <c r="C5" s="1">
        <v>50</v>
      </c>
      <c r="D5" s="1">
        <v>50</v>
      </c>
      <c r="E5" s="1">
        <f>SUM(C5:D5)</f>
        <v>100</v>
      </c>
      <c r="F5" s="1">
        <v>75</v>
      </c>
      <c r="G5" s="1">
        <f>SUM(E5:F5)</f>
        <v>175</v>
      </c>
      <c r="I5" s="1">
        <v>50</v>
      </c>
      <c r="J5" s="1">
        <v>50</v>
      </c>
      <c r="K5" s="1">
        <f>SUM(I5:J5)</f>
        <v>100</v>
      </c>
      <c r="L5" s="1">
        <v>75</v>
      </c>
      <c r="M5" s="1">
        <f>SUM(K5:L5)</f>
        <v>175</v>
      </c>
    </row>
    <row r="6" spans="1:13" x14ac:dyDescent="0.3">
      <c r="A6" s="9"/>
      <c r="B6" s="9"/>
      <c r="C6" s="1">
        <v>50</v>
      </c>
      <c r="D6" s="1">
        <v>60</v>
      </c>
      <c r="E6" s="1"/>
      <c r="F6" s="1">
        <v>75</v>
      </c>
      <c r="G6" s="1"/>
      <c r="I6" s="1">
        <v>50</v>
      </c>
      <c r="J6" s="1">
        <v>60</v>
      </c>
      <c r="K6" s="1">
        <f>SUM(I6:J6)</f>
        <v>110</v>
      </c>
      <c r="L6" s="1">
        <v>75</v>
      </c>
      <c r="M6" s="1">
        <f>SUM(K6:L6)</f>
        <v>185</v>
      </c>
    </row>
    <row r="7" spans="1:13" x14ac:dyDescent="0.3">
      <c r="A7" s="9"/>
      <c r="B7" s="9"/>
      <c r="C7" s="1">
        <v>50</v>
      </c>
      <c r="D7" s="1">
        <v>70</v>
      </c>
      <c r="E7" s="1"/>
      <c r="F7" s="1">
        <v>75</v>
      </c>
      <c r="G7" s="1"/>
      <c r="I7" s="1">
        <v>50</v>
      </c>
      <c r="J7" s="1">
        <v>70</v>
      </c>
      <c r="K7" s="1">
        <f>SUM(I7:J7)</f>
        <v>120</v>
      </c>
      <c r="L7" s="1">
        <v>75</v>
      </c>
      <c r="M7" s="1">
        <f>SUM(K7:L7)</f>
        <v>195</v>
      </c>
    </row>
    <row r="8" spans="1:13" x14ac:dyDescent="0.3">
      <c r="A8" s="9"/>
      <c r="B8" s="9"/>
      <c r="C8" s="1">
        <v>50</v>
      </c>
      <c r="D8" s="1">
        <v>80</v>
      </c>
      <c r="E8" s="1"/>
      <c r="F8" s="1">
        <v>75</v>
      </c>
      <c r="G8" s="1"/>
      <c r="I8" s="1">
        <v>50</v>
      </c>
      <c r="J8" s="1">
        <v>80</v>
      </c>
      <c r="K8" s="1">
        <f>SUM(I8:J8)</f>
        <v>130</v>
      </c>
      <c r="L8" s="1">
        <v>75</v>
      </c>
      <c r="M8" s="1">
        <f>SUM(K8:L8)</f>
        <v>205</v>
      </c>
    </row>
    <row r="9" spans="1:13" x14ac:dyDescent="0.3">
      <c r="A9" s="9"/>
      <c r="B9" s="9"/>
      <c r="C9" s="1"/>
      <c r="D9" s="1"/>
      <c r="E9" s="1"/>
      <c r="F9" s="1"/>
    </row>
    <row r="10" spans="1:13" x14ac:dyDescent="0.3">
      <c r="A10" s="9"/>
      <c r="B10" s="9"/>
      <c r="C10" s="1"/>
      <c r="D10" s="1"/>
      <c r="E10" s="1"/>
      <c r="F10" s="1"/>
    </row>
    <row r="11" spans="1:13" x14ac:dyDescent="0.3">
      <c r="A11" s="9"/>
      <c r="B11" s="9"/>
      <c r="C11" s="1" t="s">
        <v>19</v>
      </c>
      <c r="D11" s="1" t="s">
        <v>20</v>
      </c>
      <c r="E11" s="1" t="s">
        <v>21</v>
      </c>
      <c r="F11" s="1" t="s">
        <v>20</v>
      </c>
      <c r="G11" s="1" t="s">
        <v>22</v>
      </c>
      <c r="I11" s="1" t="s">
        <v>19</v>
      </c>
      <c r="J11" s="1" t="s">
        <v>20</v>
      </c>
      <c r="K11" s="1" t="s">
        <v>21</v>
      </c>
      <c r="L11" s="1" t="s">
        <v>20</v>
      </c>
      <c r="M11" s="1" t="s">
        <v>22</v>
      </c>
    </row>
    <row r="12" spans="1:13" x14ac:dyDescent="0.3">
      <c r="A12" s="9"/>
      <c r="B12" s="9"/>
      <c r="C12" s="1">
        <v>50</v>
      </c>
      <c r="D12" s="1">
        <v>50</v>
      </c>
      <c r="E12" s="1">
        <f>SUM(C12:D12)</f>
        <v>100</v>
      </c>
      <c r="F12" s="1">
        <v>75</v>
      </c>
      <c r="G12" s="1">
        <f>SUM(E12:F12)</f>
        <v>175</v>
      </c>
      <c r="I12" s="1">
        <v>50</v>
      </c>
      <c r="J12" s="1">
        <v>50</v>
      </c>
      <c r="K12" s="1">
        <f>SUM(I12:J12)</f>
        <v>100</v>
      </c>
      <c r="L12" s="1">
        <v>75</v>
      </c>
      <c r="M12" s="1">
        <f>SUM(K12:L12)</f>
        <v>175</v>
      </c>
    </row>
    <row r="13" spans="1:13" x14ac:dyDescent="0.3">
      <c r="A13" s="9"/>
      <c r="B13" s="9"/>
      <c r="C13" s="1">
        <v>50</v>
      </c>
      <c r="D13" s="1">
        <v>60</v>
      </c>
      <c r="E13" s="1">
        <f>SUM(C13:D13)</f>
        <v>110</v>
      </c>
      <c r="F13" s="1">
        <v>75</v>
      </c>
      <c r="G13" s="1">
        <f>SUM(E13:F13)</f>
        <v>185</v>
      </c>
      <c r="I13" s="1">
        <v>50</v>
      </c>
      <c r="J13" s="1">
        <v>60</v>
      </c>
      <c r="K13" s="1">
        <f>SUM(I13:J13)</f>
        <v>110</v>
      </c>
      <c r="L13" s="1">
        <v>75</v>
      </c>
      <c r="M13" s="1">
        <f>SUM(K13:L13)</f>
        <v>185</v>
      </c>
    </row>
    <row r="14" spans="1:13" x14ac:dyDescent="0.3">
      <c r="A14" s="9"/>
      <c r="B14" s="9"/>
      <c r="C14" s="1">
        <v>50</v>
      </c>
      <c r="D14" s="1">
        <v>70</v>
      </c>
      <c r="E14" s="1">
        <f>SUM(C14:D14)</f>
        <v>120</v>
      </c>
      <c r="F14" s="1">
        <v>75</v>
      </c>
      <c r="G14" s="1">
        <f>SUM(E14:F14)</f>
        <v>195</v>
      </c>
      <c r="I14" s="1">
        <v>50</v>
      </c>
      <c r="J14" s="1">
        <v>70</v>
      </c>
      <c r="K14" s="1">
        <f>SUM(I14:J14)</f>
        <v>120</v>
      </c>
      <c r="L14" s="1">
        <v>75</v>
      </c>
      <c r="M14" s="1">
        <f>SUM(K14:L14)</f>
        <v>195</v>
      </c>
    </row>
    <row r="15" spans="1:13" x14ac:dyDescent="0.3">
      <c r="A15" s="9"/>
      <c r="B15" s="9"/>
      <c r="C15" s="1">
        <v>50</v>
      </c>
      <c r="D15" s="1">
        <v>80</v>
      </c>
      <c r="E15" s="1">
        <f>SUM(C15:D15)</f>
        <v>130</v>
      </c>
      <c r="F15" s="1">
        <v>75</v>
      </c>
      <c r="G15" s="1">
        <f>SUM(E15:F15)</f>
        <v>205</v>
      </c>
      <c r="I15" s="1">
        <v>50</v>
      </c>
      <c r="J15" s="1">
        <v>80</v>
      </c>
      <c r="K15" s="1">
        <f>SUM(I15:J15)</f>
        <v>130</v>
      </c>
      <c r="L15" s="1">
        <v>75</v>
      </c>
      <c r="M15" s="1">
        <f>SUM(K15:L15)</f>
        <v>205</v>
      </c>
    </row>
    <row r="16" spans="1:13" x14ac:dyDescent="0.3">
      <c r="A16" s="9"/>
      <c r="B16" s="9"/>
      <c r="C16" s="1"/>
      <c r="D16" s="1"/>
      <c r="E16" s="1"/>
      <c r="F16" s="1"/>
      <c r="I16">
        <f>SUM(I12:I15)</f>
        <v>200</v>
      </c>
      <c r="J16">
        <f t="shared" ref="J16:M16" si="0">SUM(J12:J15)</f>
        <v>260</v>
      </c>
      <c r="K16">
        <f t="shared" si="0"/>
        <v>460</v>
      </c>
      <c r="L16">
        <f t="shared" si="0"/>
        <v>300</v>
      </c>
      <c r="M16">
        <f t="shared" si="0"/>
        <v>760</v>
      </c>
    </row>
  </sheetData>
  <mergeCells count="1">
    <mergeCell ref="A1:B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3679-102F-470A-8B58-DBA9099CE4A8}">
  <dimension ref="A1:I39"/>
  <sheetViews>
    <sheetView workbookViewId="0">
      <selection activeCell="F38" sqref="F38"/>
    </sheetView>
  </sheetViews>
  <sheetFormatPr defaultRowHeight="14.4" x14ac:dyDescent="0.3"/>
  <cols>
    <col min="2" max="2" width="65" customWidth="1"/>
    <col min="4" max="6" width="36.5546875" bestFit="1" customWidth="1"/>
    <col min="7" max="7" width="21.5546875" customWidth="1"/>
    <col min="8" max="8" width="29" customWidth="1"/>
    <col min="9" max="9" width="38.6640625" customWidth="1"/>
  </cols>
  <sheetData>
    <row r="1" spans="1:7" x14ac:dyDescent="0.3">
      <c r="A1" s="9"/>
      <c r="B1" s="9"/>
    </row>
    <row r="2" spans="1:7" ht="28.8" x14ac:dyDescent="0.3">
      <c r="A2" s="9"/>
      <c r="B2" s="9"/>
      <c r="D2" s="3" t="s">
        <v>23</v>
      </c>
    </row>
    <row r="3" spans="1:7" x14ac:dyDescent="0.3">
      <c r="A3" s="9"/>
      <c r="B3" s="9"/>
    </row>
    <row r="4" spans="1:7" x14ac:dyDescent="0.3">
      <c r="A4" s="9"/>
      <c r="B4" s="9"/>
      <c r="D4" t="s">
        <v>24</v>
      </c>
      <c r="E4" t="s">
        <v>25</v>
      </c>
      <c r="F4" t="s">
        <v>26</v>
      </c>
      <c r="G4" t="s">
        <v>27</v>
      </c>
    </row>
    <row r="5" spans="1:7" x14ac:dyDescent="0.3">
      <c r="A5" s="9"/>
      <c r="B5" s="9"/>
      <c r="D5" t="s">
        <v>28</v>
      </c>
      <c r="E5" t="s">
        <v>29</v>
      </c>
      <c r="F5" t="s">
        <v>30</v>
      </c>
      <c r="G5" t="s">
        <v>31</v>
      </c>
    </row>
    <row r="6" spans="1:7" x14ac:dyDescent="0.3">
      <c r="A6" s="9"/>
      <c r="B6" s="9"/>
      <c r="D6" t="s">
        <v>32</v>
      </c>
      <c r="E6" t="s">
        <v>33</v>
      </c>
      <c r="F6" t="s">
        <v>34</v>
      </c>
      <c r="G6" t="s">
        <v>35</v>
      </c>
    </row>
    <row r="7" spans="1:7" x14ac:dyDescent="0.3">
      <c r="A7" s="9"/>
      <c r="B7" s="9"/>
      <c r="D7" t="s">
        <v>36</v>
      </c>
      <c r="E7" t="s">
        <v>37</v>
      </c>
      <c r="F7" t="s">
        <v>38</v>
      </c>
      <c r="G7" t="s">
        <v>39</v>
      </c>
    </row>
    <row r="8" spans="1:7" x14ac:dyDescent="0.3">
      <c r="A8" s="9"/>
      <c r="B8" s="9"/>
      <c r="D8" t="s">
        <v>40</v>
      </c>
      <c r="E8" t="s">
        <v>41</v>
      </c>
      <c r="F8" t="s">
        <v>42</v>
      </c>
      <c r="G8" t="s">
        <v>43</v>
      </c>
    </row>
    <row r="9" spans="1:7" x14ac:dyDescent="0.3">
      <c r="A9" s="9"/>
      <c r="B9" s="9"/>
      <c r="D9" t="s">
        <v>44</v>
      </c>
      <c r="E9" t="s">
        <v>45</v>
      </c>
      <c r="F9" t="s">
        <v>46</v>
      </c>
      <c r="G9" t="s">
        <v>47</v>
      </c>
    </row>
    <row r="10" spans="1:7" x14ac:dyDescent="0.3">
      <c r="A10" s="9"/>
      <c r="B10" s="9"/>
    </row>
    <row r="11" spans="1:7" ht="28.8" x14ac:dyDescent="0.3">
      <c r="A11" s="9"/>
      <c r="B11" s="9"/>
      <c r="D11" s="3" t="s">
        <v>48</v>
      </c>
    </row>
    <row r="12" spans="1:7" x14ac:dyDescent="0.3">
      <c r="A12" s="9"/>
      <c r="B12" s="9"/>
    </row>
    <row r="13" spans="1:7" x14ac:dyDescent="0.3">
      <c r="A13" s="9"/>
      <c r="B13" s="9"/>
      <c r="D13" t="s">
        <v>24</v>
      </c>
      <c r="E13" t="s">
        <v>26</v>
      </c>
      <c r="F13" t="s">
        <v>49</v>
      </c>
      <c r="G13" t="s">
        <v>50</v>
      </c>
    </row>
    <row r="14" spans="1:7" x14ac:dyDescent="0.3">
      <c r="A14" s="9"/>
      <c r="B14" s="9"/>
      <c r="D14" t="s">
        <v>51</v>
      </c>
      <c r="E14" t="s">
        <v>52</v>
      </c>
      <c r="F14" t="s">
        <v>53</v>
      </c>
      <c r="G14" t="s">
        <v>54</v>
      </c>
    </row>
    <row r="15" spans="1:7" x14ac:dyDescent="0.3">
      <c r="A15" s="9"/>
      <c r="B15" s="9"/>
      <c r="D15" t="s">
        <v>55</v>
      </c>
      <c r="E15" t="s">
        <v>56</v>
      </c>
      <c r="F15" t="s">
        <v>57</v>
      </c>
      <c r="G15" t="s">
        <v>58</v>
      </c>
    </row>
    <row r="16" spans="1:7" x14ac:dyDescent="0.3">
      <c r="A16" s="9"/>
      <c r="B16" s="9"/>
      <c r="D16" t="s">
        <v>59</v>
      </c>
      <c r="E16" t="s">
        <v>60</v>
      </c>
      <c r="F16" t="s">
        <v>61</v>
      </c>
      <c r="G16" t="s">
        <v>62</v>
      </c>
    </row>
    <row r="17" spans="1:9" x14ac:dyDescent="0.3">
      <c r="A17" s="9"/>
      <c r="B17" s="9"/>
      <c r="D17" t="s">
        <v>63</v>
      </c>
      <c r="E17" t="s">
        <v>64</v>
      </c>
      <c r="F17" t="s">
        <v>65</v>
      </c>
      <c r="G17" t="s">
        <v>66</v>
      </c>
    </row>
    <row r="18" spans="1:9" x14ac:dyDescent="0.3">
      <c r="A18" s="9"/>
      <c r="B18" s="9"/>
      <c r="D18" t="s">
        <v>67</v>
      </c>
      <c r="E18" t="s">
        <v>68</v>
      </c>
      <c r="F18" t="s">
        <v>69</v>
      </c>
      <c r="G18" t="s">
        <v>70</v>
      </c>
    </row>
    <row r="19" spans="1:9" x14ac:dyDescent="0.3">
      <c r="A19" s="9"/>
      <c r="B19" s="9"/>
    </row>
    <row r="20" spans="1:9" x14ac:dyDescent="0.3">
      <c r="A20" s="9"/>
      <c r="B20" s="9"/>
    </row>
    <row r="21" spans="1:9" x14ac:dyDescent="0.3">
      <c r="A21" s="9"/>
      <c r="B21" s="9"/>
      <c r="D21" s="2" t="s">
        <v>71</v>
      </c>
    </row>
    <row r="23" spans="1:9" ht="57.6" x14ac:dyDescent="0.3">
      <c r="D23" s="4" t="s">
        <v>72</v>
      </c>
      <c r="E23" s="5" t="s">
        <v>73</v>
      </c>
      <c r="F23" s="3" t="s">
        <v>74</v>
      </c>
      <c r="G23" s="8" t="s">
        <v>75</v>
      </c>
      <c r="H23" s="8" t="s">
        <v>76</v>
      </c>
      <c r="I23" s="8" t="s">
        <v>77</v>
      </c>
    </row>
    <row r="24" spans="1:9" ht="28.8" x14ac:dyDescent="0.3">
      <c r="D24">
        <v>1</v>
      </c>
      <c r="E24" s="6" t="s">
        <v>78</v>
      </c>
      <c r="F24" t="str">
        <f>LEFT(E24,FIND(",",E24)-1)</f>
        <v>She said</v>
      </c>
      <c r="G24" s="7" t="str">
        <f>MID(E24,FIND(",",E24)+1,FIND("@",E24)-FIND(",",E24)-1)</f>
        <v xml:space="preserve"> "Please send the invoice to john.doe</v>
      </c>
      <c r="H24" t="str">
        <f>MID(E24,FIND("@",E24)+1,FIND("$",E24)-FIND("@",E24)-1)</f>
        <v xml:space="preserve">company.com for </v>
      </c>
      <c r="I24" t="str">
        <f>RIGHT(E24,LEN(E24)-FIND("$",E24))</f>
        <v>250."</v>
      </c>
    </row>
    <row r="25" spans="1:9" ht="43.2" x14ac:dyDescent="0.3">
      <c r="D25">
        <v>2</v>
      </c>
      <c r="E25" s="6" t="s">
        <v>79</v>
      </c>
      <c r="F25" t="str">
        <f t="shared" ref="F25:F28" si="0">LEFT(E25,FIND(",",E25)-1)</f>
        <v>"Remember</v>
      </c>
      <c r="G25" s="7" t="str">
        <f t="shared" ref="G25:G28" si="1">MID(E25,FIND(",",E25)+1,FIND("@",E25)-FIND(",",E25)-1)</f>
        <v>" he warned, "the payment of $100 must go to jane_smith</v>
      </c>
      <c r="H25" t="e">
        <f t="shared" ref="H25:H28" si="2">MID(E25,FIND("@",E25)+1,FIND("$",E25)-FIND("@",E25)-1)</f>
        <v>#VALUE!</v>
      </c>
      <c r="I25" t="str">
        <f t="shared" ref="I25:I28" si="3">RIGHT(E25,LEN(E25)-FIND("$",E25))</f>
        <v>100 must go to jane_smith@service.org today."</v>
      </c>
    </row>
    <row r="26" spans="1:9" ht="43.2" x14ac:dyDescent="0.3">
      <c r="D26">
        <v>3</v>
      </c>
      <c r="E26" s="6" t="s">
        <v>80</v>
      </c>
      <c r="F26" t="str">
        <f t="shared" si="0"/>
        <v>The manager announced</v>
      </c>
      <c r="G26" s="7" t="str">
        <f t="shared" si="1"/>
        <v xml:space="preserve"> "All reimbursements, like $75, will be sent to hr</v>
      </c>
      <c r="H26" t="e">
        <f t="shared" si="2"/>
        <v>#VALUE!</v>
      </c>
      <c r="I26" t="str">
        <f t="shared" si="3"/>
        <v>75, will be sent to hr@office.com."</v>
      </c>
    </row>
    <row r="27" spans="1:9" ht="43.2" x14ac:dyDescent="0.3">
      <c r="D27">
        <v>4</v>
      </c>
      <c r="E27" s="6" t="s">
        <v>81</v>
      </c>
      <c r="F27" t="str">
        <f t="shared" si="0"/>
        <v>"Check your email</v>
      </c>
      <c r="G27" s="7" t="str">
        <f t="shared" si="1"/>
        <v>" she said, "mike89</v>
      </c>
      <c r="H27" t="str">
        <f t="shared" si="2"/>
        <v xml:space="preserve">finance.net received </v>
      </c>
      <c r="I27" t="str">
        <f t="shared" si="3"/>
        <v>500 yesterday."</v>
      </c>
    </row>
    <row r="28" spans="1:9" ht="28.8" x14ac:dyDescent="0.3">
      <c r="D28">
        <v>5</v>
      </c>
      <c r="E28" s="6" t="s">
        <v>82</v>
      </c>
      <c r="F28" t="str">
        <f t="shared" si="0"/>
        <v>He whispered</v>
      </c>
      <c r="G28" s="7" t="str">
        <f t="shared" si="1"/>
        <v xml:space="preserve"> "The bonus of $200 will be credited to lucy</v>
      </c>
      <c r="H28" t="e">
        <f t="shared" si="2"/>
        <v>#VALUE!</v>
      </c>
      <c r="I28" t="str">
        <f t="shared" si="3"/>
        <v>200 will be credited to lucy@workplace.com soon."</v>
      </c>
    </row>
    <row r="34" spans="4:9" x14ac:dyDescent="0.3">
      <c r="D34" s="4"/>
      <c r="E34" s="5"/>
      <c r="F34" s="3"/>
      <c r="G34" s="8"/>
      <c r="H34" s="8"/>
      <c r="I34" s="8"/>
    </row>
    <row r="35" spans="4:9" x14ac:dyDescent="0.3">
      <c r="E35" s="6"/>
      <c r="G35" s="7"/>
    </row>
    <row r="36" spans="4:9" x14ac:dyDescent="0.3">
      <c r="E36" s="6"/>
      <c r="G36" s="7"/>
    </row>
    <row r="37" spans="4:9" x14ac:dyDescent="0.3">
      <c r="E37" s="6"/>
      <c r="G37" s="7"/>
    </row>
    <row r="38" spans="4:9" x14ac:dyDescent="0.3">
      <c r="E38" s="6"/>
      <c r="G38" s="7"/>
    </row>
    <row r="39" spans="4:9" x14ac:dyDescent="0.3">
      <c r="E39" s="6"/>
      <c r="G39" s="7"/>
    </row>
  </sheetData>
  <mergeCells count="1">
    <mergeCell ref="A1:B21"/>
  </mergeCells>
  <hyperlinks>
    <hyperlink ref="E25" r:id="rId1" xr:uid="{DC4A05F2-E0EC-46EE-A239-664BB30845BB}"/>
    <hyperlink ref="E26" r:id="rId2" xr:uid="{163EF38E-2749-4F51-A340-F3BB4397B1FF}"/>
    <hyperlink ref="E27" r:id="rId3" xr:uid="{74F70779-452C-4FEC-B735-6A4A86FB739C}"/>
    <hyperlink ref="E28" r:id="rId4" xr:uid="{A7CEAB40-C0D3-4487-B612-945B090E89A7}"/>
    <hyperlink ref="E24" r:id="rId5" xr:uid="{DFD957D1-BFFA-48EE-85CF-0A9811A24B8F}"/>
  </hyperlink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75D9-175C-417A-9BC6-1C0C989676B5}">
  <dimension ref="A1:H23"/>
  <sheetViews>
    <sheetView tabSelected="1" topLeftCell="C3" workbookViewId="0">
      <selection activeCell="E22" sqref="E22"/>
    </sheetView>
  </sheetViews>
  <sheetFormatPr defaultRowHeight="14.4" x14ac:dyDescent="0.3"/>
  <cols>
    <col min="1" max="1" width="70.109375" customWidth="1"/>
    <col min="3" max="3" width="36.5546875" bestFit="1" customWidth="1"/>
    <col min="5" max="5" width="12" bestFit="1" customWidth="1"/>
    <col min="6" max="6" width="11.33203125" bestFit="1" customWidth="1"/>
    <col min="7" max="7" width="15.109375" bestFit="1" customWidth="1"/>
    <col min="8" max="8" width="18.33203125" bestFit="1" customWidth="1"/>
  </cols>
  <sheetData>
    <row r="1" spans="1:8" x14ac:dyDescent="0.3">
      <c r="A1" s="10"/>
    </row>
    <row r="2" spans="1:8" x14ac:dyDescent="0.3">
      <c r="A2" s="10"/>
    </row>
    <row r="3" spans="1:8" ht="43.2" x14ac:dyDescent="0.3">
      <c r="A3" s="10"/>
      <c r="C3" s="7" t="s">
        <v>83</v>
      </c>
    </row>
    <row r="4" spans="1:8" x14ac:dyDescent="0.3">
      <c r="A4" s="10"/>
    </row>
    <row r="5" spans="1:8" x14ac:dyDescent="0.3">
      <c r="A5" s="10"/>
      <c r="C5" s="4" t="s">
        <v>12</v>
      </c>
      <c r="D5" s="4" t="s">
        <v>84</v>
      </c>
      <c r="E5" s="4" t="s">
        <v>85</v>
      </c>
      <c r="F5" s="4" t="s">
        <v>86</v>
      </c>
      <c r="G5" s="4" t="s">
        <v>87</v>
      </c>
      <c r="H5" s="4" t="s">
        <v>88</v>
      </c>
    </row>
    <row r="6" spans="1:8" x14ac:dyDescent="0.3">
      <c r="A6" s="10"/>
      <c r="C6" s="4" t="s">
        <v>2</v>
      </c>
      <c r="D6">
        <v>1200</v>
      </c>
      <c r="E6">
        <v>150</v>
      </c>
      <c r="F6">
        <v>300</v>
      </c>
      <c r="G6">
        <v>50</v>
      </c>
      <c r="H6">
        <v>200</v>
      </c>
    </row>
    <row r="7" spans="1:8" x14ac:dyDescent="0.3">
      <c r="A7" s="10"/>
    </row>
    <row r="8" spans="1:8" x14ac:dyDescent="0.3">
      <c r="A8" s="10"/>
      <c r="C8" s="4" t="s">
        <v>12</v>
      </c>
      <c r="D8" s="4" t="s">
        <v>2</v>
      </c>
    </row>
    <row r="9" spans="1:8" x14ac:dyDescent="0.3">
      <c r="A9" s="10"/>
      <c r="C9" s="4" t="s">
        <v>84</v>
      </c>
      <c r="D9">
        <v>1200</v>
      </c>
    </row>
    <row r="10" spans="1:8" x14ac:dyDescent="0.3">
      <c r="A10" s="10"/>
      <c r="C10" s="4" t="s">
        <v>85</v>
      </c>
      <c r="D10">
        <v>150</v>
      </c>
    </row>
    <row r="11" spans="1:8" x14ac:dyDescent="0.3">
      <c r="A11" s="10"/>
      <c r="C11" s="4" t="s">
        <v>86</v>
      </c>
      <c r="D11">
        <v>300</v>
      </c>
    </row>
    <row r="12" spans="1:8" x14ac:dyDescent="0.3">
      <c r="A12" s="10"/>
      <c r="C12" s="4" t="s">
        <v>87</v>
      </c>
      <c r="D12">
        <v>50</v>
      </c>
    </row>
    <row r="13" spans="1:8" x14ac:dyDescent="0.3">
      <c r="A13" s="10"/>
      <c r="C13" s="4" t="s">
        <v>88</v>
      </c>
      <c r="D13">
        <v>200</v>
      </c>
    </row>
    <row r="14" spans="1:8" x14ac:dyDescent="0.3">
      <c r="A14" s="10"/>
    </row>
    <row r="15" spans="1:8" x14ac:dyDescent="0.3">
      <c r="A15" s="10"/>
    </row>
    <row r="16" spans="1:8" x14ac:dyDescent="0.3">
      <c r="A16" s="10"/>
      <c r="C16" t="s">
        <v>89</v>
      </c>
    </row>
    <row r="17" spans="1:5" x14ac:dyDescent="0.3">
      <c r="A17" s="10"/>
    </row>
    <row r="18" spans="1:5" x14ac:dyDescent="0.3">
      <c r="A18" s="10"/>
      <c r="C18" t="str" cm="1">
        <f t="array" ref="C18:D23">TRANSPOSE(C5:H6)</f>
        <v>Item</v>
      </c>
      <c r="D18" t="str">
        <v>Amount</v>
      </c>
    </row>
    <row r="19" spans="1:5" x14ac:dyDescent="0.3">
      <c r="A19" s="10"/>
      <c r="C19" t="str">
        <v>Laptop</v>
      </c>
      <c r="D19">
        <v>1200</v>
      </c>
    </row>
    <row r="20" spans="1:5" x14ac:dyDescent="0.3">
      <c r="C20" t="str">
        <v>Headphones</v>
      </c>
      <c r="D20">
        <v>150</v>
      </c>
    </row>
    <row r="21" spans="1:5" x14ac:dyDescent="0.3">
      <c r="C21" t="str">
        <v>Office Chair</v>
      </c>
      <c r="D21">
        <v>300</v>
      </c>
      <c r="E21" t="s">
        <v>90</v>
      </c>
    </row>
    <row r="22" spans="1:5" x14ac:dyDescent="0.3">
      <c r="C22" t="str">
        <v>Wireless Mouse</v>
      </c>
      <c r="D22">
        <v>50</v>
      </c>
    </row>
    <row r="23" spans="1:5" x14ac:dyDescent="0.3">
      <c r="C23" t="str">
        <v>External Hard Drive</v>
      </c>
      <c r="D23">
        <v>200</v>
      </c>
    </row>
  </sheetData>
  <mergeCells count="1">
    <mergeCell ref="A1:A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</vt:lpstr>
      <vt:lpstr>fill</vt:lpstr>
      <vt:lpstr>Split</vt:lpstr>
      <vt:lpstr>Transpose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Mukesh Udatha</dc:creator>
  <cp:keywords/>
  <dc:description/>
  <cp:lastModifiedBy>Mukesh Udatha</cp:lastModifiedBy>
  <cp:revision/>
  <dcterms:created xsi:type="dcterms:W3CDTF">2015-06-05T18:17:20Z</dcterms:created>
  <dcterms:modified xsi:type="dcterms:W3CDTF">2025-09-10T05:55:28Z</dcterms:modified>
  <cp:category/>
  <cp:contentStatus/>
</cp:coreProperties>
</file>